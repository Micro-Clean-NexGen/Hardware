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nce" sheetId="1" r:id="rId5"/>
    <sheet state="visible" name="Supplier" sheetId="2" r:id="rId6"/>
    <sheet state="visible" name="target spec sheet steam module" sheetId="3" r:id="rId7"/>
    <sheet state="visible" name="brainstorm ideas and plan" sheetId="4" r:id="rId8"/>
    <sheet state="visible" name="Core Components_july26 archived" sheetId="5" r:id="rId9"/>
    <sheet state="visible" name="List of fasteners" sheetId="6" r:id="rId10"/>
    <sheet state="visible" name="Application of fasteners with 3" sheetId="7" r:id="rId11"/>
    <sheet state="visible" name="Assembly Nuance" sheetId="8" r:id="rId12"/>
  </sheets>
  <definedNames>
    <definedName hidden="1" localSheetId="4" name="_xlnm._FilterDatabase">'Core Components_july26 archived'!$G$47:$G$48</definedName>
  </definedNames>
  <calcPr/>
</workbook>
</file>

<file path=xl/sharedStrings.xml><?xml version="1.0" encoding="utf-8"?>
<sst xmlns="http://schemas.openxmlformats.org/spreadsheetml/2006/main" count="402" uniqueCount="324">
  <si>
    <t>Procurement List</t>
  </si>
  <si>
    <r>
      <rPr>
        <rFont val="Arial"/>
        <b/>
        <color theme="1"/>
      </rPr>
      <t xml:space="preserve">Questions to send with every supplier inquiry
</t>
    </r>
    <r>
      <rPr>
        <rFont val="Arial"/>
        <color theme="1"/>
      </rPr>
      <t>What voltage does this operate at? (24V / 48V / 72V / 220V AC)
What is the rated power? (W)
What is the maximum continuous water flow rate? (L/min)
What is the maximum outlet/operating temperature?
Does it have dry-run protection?
Is the wetted material SS304 or SS316?
Is it rated for continuous-duty operation?
What is the MOQ and sample lead time?</t>
    </r>
  </si>
  <si>
    <t>Component / Expense</t>
  </si>
  <si>
    <r>
      <rPr>
        <rFont val="Arial"/>
        <b/>
        <color theme="1"/>
        <sz val="11.0"/>
      </rPr>
      <t xml:space="preserve">Reject on sight
</t>
    </r>
    <r>
      <rPr>
        <rFont val="Arial"/>
        <color theme="1"/>
      </rPr>
      <t>220V AC-only units
Heaters above 1500W (unless you're intentionally testing higher power)
Domestic "heater + built-in booster pump" combo units — these are AC/domestic-use and don't give independent control over flow and pressure</t>
    </r>
  </si>
  <si>
    <t>supplier</t>
  </si>
  <si>
    <t>link</t>
  </si>
  <si>
    <t>details</t>
  </si>
  <si>
    <t>Description</t>
  </si>
  <si>
    <t>1. Flow-Through Heater
 (Instant / Coil Heater)</t>
  </si>
  <si>
    <t>HKD</t>
  </si>
  <si>
    <t>Commercial AI Cleaning Robot (e.g., 
Commercial units)</t>
  </si>
  <si>
    <t>Date</t>
  </si>
  <si>
    <t>Recipt - Hyper link</t>
  </si>
  <si>
    <t>tsheater</t>
  </si>
  <si>
    <t>Arduino Circuit</t>
  </si>
  <si>
    <t>Consumer AI Steam Robot (e.g., Samsung / Roborock style)</t>
  </si>
  <si>
    <t>https://www.tsheater.com/industrial-heaters/tubular-heater/electric-water-heater-coil.html#</t>
  </si>
  <si>
    <t>What boiler wattage (W) is in the steam cleaner you're buying?
What battery voltage are you planning (24V, 48V, or 72V)?
How many hours of runtime do you need between charges?</t>
  </si>
  <si>
    <t>Steam module Archittecture</t>
  </si>
  <si>
    <t>System-level architecture: 48V DC, battery-fed, no AC inverter stage. Target runtime: 60–90 minutes between charge/dock cycles. Approach: components sourced independently</t>
  </si>
  <si>
    <t>Upfront Purchase Price</t>
  </si>
  <si>
    <t>Raspbarry5I with camara</t>
  </si>
  <si>
    <t>$23,800 – $27,500</t>
  </si>
  <si>
    <t>RP lider A2</t>
  </si>
  <si>
    <t>$1,000 – $1,500</t>
  </si>
  <si>
    <t>Alternative Leasing (RaaS)</t>
  </si>
  <si>
    <t xml:space="preserve">48V DC — the heater's input power/control voltage. This is the one that ripples out to everything else (battery, pump, valve) since you want the whole water path on one consistent voltage rather than mixing 24V and 220V AC components.
500–1000W — the heater's power rating. This is the number that drives your battery sizing.
0.3–1.0 L/min — this is really a heater-and-pump-together number. It's the flow rate the heater is rated to bring up to temperature at that wattage — if you push more water through than the heater can handle, it comes out lukewarm; less, and you waste power. So when you spec the heater, you size the pump to match this same flow window, not independently.
&lt;100°C outlet temp — the heater's max output temperature spec.
Dry-run protection — a safety feature built into the heater itself (a sensor/cutoff that shuts off power if no water is flowing through the coil, so it doesn't overheat and burn out).
SS304/316 wetted parts — this one applies to anything touching the water, not just the heater: the heater coil, the pump's internal diaphragm/housing, and the tank. Ask about material on all three, not just the heater.
</t>
  </si>
  <si>
    <t>$450 – $1,200 per month</t>
  </si>
  <si>
    <t>N/A (Consumer retail model)</t>
  </si>
  <si>
    <t>coil heater</t>
  </si>
  <si>
    <t>Edge AI Hardware (NPU/Chips)</t>
  </si>
  <si>
    <t>Foshan-based coil makers  — 1688/Made-in-China: "不锈钢瞬热管" (stainless steel instant heating tube) or "12V 24V 48V电热管."</t>
  </si>
  <si>
    <t>$300 – $800 of total build</t>
  </si>
  <si>
    <t>2. Water Pump 
(DC Diaphragm Pump)</t>
  </si>
  <si>
    <t>BODENFLO</t>
  </si>
  <si>
    <t>$50 – $150 of total build</t>
  </si>
  <si>
    <t>https://bodenpump.com/</t>
  </si>
  <si>
    <t>Navigation &amp; Vision Sensors</t>
  </si>
  <si>
    <t>$2,000 – $4,000 (Multi-LiDAR + Depth Vision)</t>
  </si>
  <si>
    <t>$150 – $300 (LiDAR + 3D Cameras)</t>
  </si>
  <si>
    <t>Steam/Heating &amp; Mechanicals</t>
  </si>
  <si>
    <t>$8,000 – $12,000 (Heavy-duty boilers/scrubbers)</t>
  </si>
  <si>
    <t>48V DC architecture, 500–1000W flow-through heater, 0.3–1.0 L/min flow rate, &lt;100°C outlet temp, dry-run protection, SS304/316 wetted parts.</t>
  </si>
  <si>
    <t>$200 – $400</t>
  </si>
  <si>
    <t>high-flow miniature pumps
design, R&amp;D, manufacturing, sales, and service of DC mini pumps.</t>
  </si>
  <si>
    <t>Ongoing Maintenance / Pads</t>
  </si>
  <si>
    <t>dyxpump</t>
  </si>
  <si>
    <t>https://www.dyxpump.com/</t>
  </si>
  <si>
    <t>$1,500 – $3,000 per year</t>
  </si>
  <si>
    <t>$50 – $150 per year</t>
  </si>
  <si>
    <t xml:space="preserve">The heating and mechanical systems of a commercial AI cleaning robot cost $8,000 to $12,000 because they use industrial-grade boilers, heavy-duty brush motors, and high-pressure water delivery systems built to run up to 8 hours daily. [1] 
Unlike small home vacuums, these machines utilize ruggedized, high-voltage mechanical parts to blast away stubborn stains, grease, and grime in large public spaces.
## Cost and Technical Breakdown## 1. Steam Generation &amp; Heating Assembly
* 
* Estimated Cost: $2,500 – $3,500
* Core Hardware: Flash-heating boilers, high-pressure steam pumps, thermal insulation, and armored heating elements.
* How it Works: The robot pumps water through a compact, high-efficiency boiler that heats up within seconds. It vaporizes water into pressurized steam exceeding 100°C to instantly sanitize floors and break down oils.
* 
## 2. Heavy-Duty Scrubbing &amp; Agitation Mechanics
* 
* Estimated Cost: $2,000 – $3,000
* Core Hardware: Dual cylindrical roller brushes, high-torque brushless DC (BLDC) motors, and heavy down-force tension springs.
* How it Works: The AI system controls the brush motors to dynamically adjust the scrubbing pressure (down-force) from 15kg to over 40kg depending on the floor type and stain severity detected by the sensors. [2] 
* 
## 3. Fluid Management &amp; Squeegee Systems
* 
* Estimated Cost: $1,500 – $2,500
* Core Hardware: Separate clean/dirty water tanks (often 15L to 30L capacity), high-vacuum suction motors, and self-leveling rubber squeegees. [3] 
* How it Works: After steam breaks down dirt, the vacuum motor pulls the wastewater off the floor via the squeegee. The AI monitors tank fluid levels to prevent overflow and optimize water usage.
* 
## 4. Automated Docking &amp; Internal Self-Cleaning [4] 
* 
* Estimated Cost: $2,000 – $3,000
* Core Hardware: Internal self-cleaning spray nozzles, automated drainage valves, and motorized docking connection manifolds.
* How it Works: When the robot returns to its base station, mechanical valves automatically hook up to drain dirty water, refill clean water, and back-flush the internal lines with hot steam to prevent bacterial growth and odor.
* 
## How Edge AI Optimizes These Mechanicals
* 
* Predictive Maintenance: The local processor monitors motor temperature and vibration to alert you before a belt or pump breaks.
* Resource Conservation: Instead of blasting maximum steam everywhere, the AI drops water flow on clean floors and triggers high-heat steam only on detected grease zones, doubling battery and water runtimes.
* 
If you want to see how this impacts your operational budget, tell me:
* 
* The total square footage of the commercial facility.
* What type of flooring is installed (tile, sealed concrete, epoxy, carpet?).
* 
I can calculate the exact return on investment (ROI) and daily water/power savings.
[1] [https://www.peppermintrobotics.com](https://www.peppermintrobotics.com/blogs/peppermint-autonomous-floor-cleaning-robots-and-its-use-cases)
[2] [https://oxmaint.com](https://oxmaint.com/industries/facility-management/how-robotics-reduces-facility-maintenance-labor-costs-by-35-percent-in-2026)
[3] [https://sproutmation.com](https://sproutmation.com/blog/all-in-one-cleaning-robot-pros-cons)
[4] [https://en.orionstar.com](https://en.orionstar.com/ai-robots/243.html)
</t>
  </si>
  <si>
    <t>precision fluid-control mini air pumps, mini vacuum pumps,mini water pumps and solenoid valves,</t>
  </si>
  <si>
    <t>Dongguan Shenpeng Electronics</t>
  </si>
  <si>
    <t>3. Temperature Sensor</t>
  </si>
  <si>
    <t>Shenzhen Testeck Technology Co., Ltd</t>
  </si>
  <si>
    <t>https://www.made-in-china.com/showroom/testeck2016/</t>
  </si>
  <si>
    <t>Instead of a whole steam cleaner, source separately:
Stainless steel heating coil
Flow-through heater
Small water pump
Solenoid valve
Temperature sensors
Water tank</t>
  </si>
  <si>
    <t>Before spending months integrating hardware:
Buy instant heater.
Build manual test rig.
Steam + oscillating pad.
Test on:
marble
porcelain tile
polished granite
Compare against:
normal mopping
scrubber machine</t>
  </si>
  <si>
    <t xml:space="preserve">1) Buy robot cleaner platform + source instant-heating components separately.
48V DC heating element (500-1000W)
Stainless steel flow-through heater block
Small diaphragm pump
Temperature sensor (PT100 / NTC)
Solenoid valve
Water tank
Insulation material
Then connect it to:
Existing autonomous cleaning robot chassis
Wide steam distribution bar
Oscillating microfiber pad
</t>
  </si>
  <si>
    <t>My gut feeling is that your biggest breakthrough opportunity is not AI or navigation. 
It's finding the minimum heater power that still delivers acceptable cleaning 
performance on marble and tile floors. If you crack that, your battery size, 
robot weight, and BOM cost all become much more competitive.</t>
  </si>
  <si>
    <t xml:space="preserve">Your key insight is correct: mall floor cleaning does not require 180°C and 12 bar steam. That single assumption can reduce battery size, robot weight, safety risks, and BOM cost dramatically. The more you optimize for "just enough thermal cleaning" rather than "industrial steam cleaning," the stronger your MVP economics become.
 </t>
  </si>
  <si>
    <t>Spec</t>
  </si>
  <si>
    <t>Target</t>
  </si>
  <si>
    <t>What I Would Buy
For an MVP robot:
Independent diaphragm pump (24V or 48V DC)
Independent flow-through heater (24V or 48V DC)
Temperature sensor
Solenoid valve
Architecture:
Water Tank
   ↓
DC Diaphragm Pump
   ↓
Flow Sensor
   ↓
Instant Heater
   ↓
Wide Steam Bar
   ↓
Oscillating Pad
This gives your engineers full control of:
flow rate
temperature
pressure
steam output
power consumption
Very Important</t>
  </si>
  <si>
    <t>Voltage? (24V, 48V, 72V, or 220V AC)
Heater power? (500W, 800W, 1000W, 1500W)
Maximum water flow (L/min)
Maximum outlet temperature
Dry-run protection?
Stainless steel 304 or 316?
Continuous-duty operation?
For your application, I'd target approximately: 
48V DC
500-1000W heater
0.3-1.0 L/min flow rate
&lt;100°C outlet temperature</t>
  </si>
  <si>
    <t>Shenzhen Senstech and Shenzhen Huachenkang</t>
  </si>
  <si>
    <t>4. Solenoid Valve</t>
  </si>
  <si>
    <t>Meishuo</t>
  </si>
  <si>
    <t>https://www.meishuo-relay.com/solenoid-valves/</t>
  </si>
  <si>
    <t>Voltage</t>
  </si>
  <si>
    <t>48V DC</t>
  </si>
  <si>
    <t>Solenoid Valves Manufacturer</t>
  </si>
  <si>
    <t>5. Water Tank</t>
  </si>
  <si>
    <t>https://www.chunkerowaterplant.com/product/sus-304316-sterile-water-storage-tanks</t>
  </si>
  <si>
    <t>Power</t>
  </si>
  <si>
    <t>500–1000W</t>
  </si>
  <si>
    <t>water storage tanks</t>
  </si>
  <si>
    <t>6. battery</t>
  </si>
  <si>
    <t>7. cleaning autonomous robots
vacuum based</t>
  </si>
  <si>
    <t>https://robotinfo.dev/</t>
  </si>
  <si>
    <t>Max outlet temp</t>
  </si>
  <si>
    <t>&lt;100°C (target 80–100°C)</t>
  </si>
  <si>
    <t>Flow rate rating</t>
  </si>
  <si>
    <t>0.3–1.0 L/min</t>
  </si>
  <si>
    <t>Wetted material</t>
  </si>
  <si>
    <t>Stainless steel 304 or 316</t>
  </si>
  <si>
    <t>Dry-run protection</t>
  </si>
  <si>
    <t>Required (built-in)</t>
  </si>
  <si>
    <t>Duty cycle</t>
  </si>
  <si>
    <t>Continuous</t>
  </si>
  <si>
    <t>Form factor</t>
  </si>
  <si>
    <t>Coil / flow-through block — not a tank/boiler</t>
  </si>
  <si>
    <t>Autonomous Steam Cleaning &amp; Air Sterilization Robot MVP</t>
  </si>
  <si>
    <t>Mobile base + shared boiler + dual subsystems (Steam Surface Cleaning + Air Sterilization). Onboard power, navigation, and autonomous path planning for indoor zones.</t>
  </si>
  <si>
    <t>№</t>
  </si>
  <si>
    <t>24V or 48V DC (match heater if possible)</t>
  </si>
  <si>
    <t>Q-ty, pcs</t>
  </si>
  <si>
    <t>Flow rate</t>
  </si>
  <si>
    <t>0.3–1.0 L/min (must match heater rating)</t>
  </si>
  <si>
    <t>Item</t>
  </si>
  <si>
    <t>Exact Part Number</t>
  </si>
  <si>
    <t>Notes</t>
  </si>
  <si>
    <t>Screw М4x16 DIN 912</t>
  </si>
  <si>
    <t>Qty</t>
  </si>
  <si>
    <t>unit price in HKD</t>
  </si>
  <si>
    <t>Type</t>
  </si>
  <si>
    <t>Diaphragm, self-priming</t>
  </si>
  <si>
    <t>Total price</t>
  </si>
  <si>
    <t>Status</t>
  </si>
  <si>
    <t>Screw М5x20 DIN 912</t>
  </si>
  <si>
    <t>actual price</t>
  </si>
  <si>
    <t>SS304/316 or food-grade plastic rated for hot water</t>
  </si>
  <si>
    <t>Screw М5x70 DIN 912</t>
  </si>
  <si>
    <t>Screw М6x20 DIN 912</t>
  </si>
  <si>
    <t>Max pressure</t>
  </si>
  <si>
    <t>Only what the steam bar/nozzle design needs — low pressure (target 1–4 bar)</t>
  </si>
  <si>
    <t>Screw М10x45 DIN 912</t>
  </si>
  <si>
    <t>3D PDF</t>
  </si>
  <si>
    <t>Blind Rivet Nut - Round Thin - Stainless Steel - M4</t>
  </si>
  <si>
    <t>Screw М3x12 DIN 965</t>
  </si>
  <si>
    <t>Blind Rivet Nut - Round Thin - Stainless Steel - M5</t>
  </si>
  <si>
    <t>Blind Rivet Nut - Round Thin - Stainless Steel - M6</t>
  </si>
  <si>
    <t>Screw М3x8 DIN 966</t>
  </si>
  <si>
    <t>Blind Rivet Nut - Round Thin - Stainless Steel - M8</t>
  </si>
  <si>
    <t>Blind rivet Al/St 4,0х8, DIN 7337</t>
  </si>
  <si>
    <t>Screw М3x12 DIN 967</t>
  </si>
  <si>
    <t>Screw М4x12 DIN 967</t>
  </si>
  <si>
    <t>Screw М4x16 DIN 967</t>
  </si>
  <si>
    <t>Screw М8x25 DIN 967</t>
  </si>
  <si>
    <t>Screw М2x8 DIN 7985</t>
  </si>
  <si>
    <t>Screw М2x16 DIN 7985</t>
  </si>
  <si>
    <t>Screw М2,5x6 DIN 7985</t>
  </si>
  <si>
    <t>PT100 or NTC</t>
  </si>
  <si>
    <t>Screw М3x8 DIN 7985</t>
  </si>
  <si>
    <t>Screw М4x16 DIN 7985</t>
  </si>
  <si>
    <t>Compute &amp; Control</t>
  </si>
  <si>
    <t>Nut M2 DIN 934</t>
  </si>
  <si>
    <t>Nut M3 DIN 934</t>
  </si>
  <si>
    <t>Nut M10 DIN 934</t>
  </si>
  <si>
    <t>Washer 2 DIN 125</t>
  </si>
  <si>
    <t>Washer 2,5 DIN 125</t>
  </si>
  <si>
    <t xml:space="preserve">
Rasberry Pi</t>
  </si>
  <si>
    <t>Washer 3 DIN 125</t>
  </si>
  <si>
    <t>Washer 4 DIN 125</t>
  </si>
  <si>
    <t>Raspberry Pi 5 (Model B Rev 1.1, 8 GB RAM</t>
  </si>
  <si>
    <t>Washer 5 DIN 125</t>
  </si>
  <si>
    <t>Washer 6 DIN 125</t>
  </si>
  <si>
    <t>Range</t>
  </si>
  <si>
    <t>locomotion
 reads and processes sensor data
 build a map of room
 plan path, figure out its location on the map
 SLAM, localization, path planning, real time control</t>
  </si>
  <si>
    <t>Washer 8 DIN 125</t>
  </si>
  <si>
    <t>Ambient to 110°C+ (headroom above the 100°C target)</t>
  </si>
  <si>
    <t>Washer 10 DIN 125</t>
  </si>
  <si>
    <t>Spring lock washer 2 DIN 7980</t>
  </si>
  <si>
    <t>Spring lock washer 2,5 DIN 7980</t>
  </si>
  <si>
    <t>Spring lock washer 3 DIN 7980</t>
  </si>
  <si>
    <t>Spring lock washer 4 DIN 7980</t>
  </si>
  <si>
    <t>Spring lock washer 5 DIN 7980</t>
  </si>
  <si>
    <t>Spring lock washer 6 DIN 7980</t>
  </si>
  <si>
    <t>Spring lock washer 10 DIN 7980</t>
  </si>
  <si>
    <t>Large size washer 4 DIN 9021</t>
  </si>
  <si>
    <t>Mounting</t>
  </si>
  <si>
    <t>Screwed spacer sleeve TFF-M3/25</t>
  </si>
  <si>
    <t>Inline probe, sized to your water line diameter</t>
  </si>
  <si>
    <t>Feather key 4x4x25 DIN 6885-UNI 6604 (former ISO 773)</t>
  </si>
  <si>
    <t>Feather key 8x7x28 DIN 6885-UNI 6604 (former ISO 773)</t>
  </si>
  <si>
    <t>Camera to Front panel</t>
  </si>
  <si>
    <t>Output</t>
  </si>
  <si>
    <t>Compatible with your controller (e.g. MAX31865 breakout for PT100)</t>
  </si>
  <si>
    <t>pindou dou order</t>
  </si>
  <si>
    <t>Arduino Mega</t>
  </si>
  <si>
    <t>24V or 48V DC</t>
  </si>
  <si>
    <t xml:space="preserve">Arduino Mega 2560 Rev3 </t>
  </si>
  <si>
    <t>for steam control</t>
  </si>
  <si>
    <t>Normally closed, water-rated</t>
  </si>
  <si>
    <t>Cover to Center bracket</t>
  </si>
  <si>
    <t>✅</t>
  </si>
  <si>
    <t>bought from Sham sui po</t>
  </si>
  <si>
    <t>SS304/316 or compatible plastic</t>
  </si>
  <si>
    <t>IMU</t>
  </si>
  <si>
    <t>Port size</t>
  </si>
  <si>
    <t>Match your tubing/hose diameter</t>
  </si>
  <si>
    <t>vectornav NV-100
MPU 6050</t>
  </si>
  <si>
    <t>For Navigation; Mounted at center of wheel axis, fused via 
EKF</t>
  </si>
  <si>
    <t>https://www.digikey.hk/en/products/detail/ceva-technologies-inc/BNO085/9445940?utm_source=chatgpt.com</t>
  </si>
  <si>
    <t>Lidar to support assembly</t>
  </si>
  <si>
    <t>Material</t>
  </si>
  <si>
    <t>Stainless steel (304/316) or food-grade plastic</t>
  </si>
  <si>
    <t>Capacity</t>
  </si>
  <si>
    <t>TBD once flow rate × target runtime and the other specs are locked</t>
  </si>
  <si>
    <t>Must fit the robot chassis footprint — need to confirm dimensions before ordering</t>
  </si>
  <si>
    <t>Lidar support assembly to base</t>
  </si>
  <si>
    <t>Sonar sensors</t>
  </si>
  <si>
    <t>HC-SR04</t>
  </si>
  <si>
    <t>baterry</t>
  </si>
  <si>
    <t>Waterproof, mounted rear of cover, both sides</t>
  </si>
  <si>
    <t>to be decided later</t>
  </si>
  <si>
    <t>taobao</t>
  </si>
  <si>
    <t>Camera</t>
  </si>
  <si>
    <t>Raspberry Pi Camera Module / 
Arducam IMX219</t>
  </si>
  <si>
    <t>2D laser scanner for SLAM and obstacle detection (USB)</t>
  </si>
  <si>
    <t>Center bracket to base</t>
  </si>
  <si>
    <t>pindou dou order
with rasberry pi 5</t>
  </si>
  <si>
    <t>LiDAR</t>
  </si>
  <si>
    <t>RPLIDAR A2</t>
  </si>
  <si>
    <t>Vision sensor for docking and computer vision tasks (CSI interface)</t>
  </si>
  <si>
    <t>tao bao</t>
  </si>
  <si>
    <t>Side panels</t>
  </si>
  <si>
    <t>Front panel - up</t>
  </si>
  <si>
    <t>Power System</t>
  </si>
  <si>
    <t>battery</t>
  </si>
  <si>
    <t>24V 40Ah Li-ion / LiFePO4 pack</t>
  </si>
  <si>
    <t>Main power source for motors and electronics</t>
  </si>
  <si>
    <t>https://www.aliexpress.com/item/1005009744289146.html?spm=a2g0o.productlist.main.1.33f9cnchcnchGu&amp;algo_pvid=27b6b742-9c04-48cc-852e-9b7233d17d7a&amp;algo_exp_id=27b6b742-9c04-48cc-852e-9b7233d17d7a-0&amp;pdp_ext_f=%7B%22order%22%3A%22-1%22%2C%22eval%22%3A%221%22%2C%22fromPage%22%3A%22search%22%7D&amp;pdp_npi=6%40dis%21HKD%212716.77%211331.22%21%21%212335.00%211144.15%21%4021413b0b17852042720967427e0c4a%2112000050018518417%21sea%21HK%210%21ABX%211%210%21n_tag%3A-29910%3Bd%3A308f4a59%3Bm03_new_user%3A-29895&amp;curPageLogUid=pNvxQOzD2u9C&amp;utparam-url=scene%3Asearch%7Cquery_from%3A%7Cx_object_id%3A1005009744289146%7C_p_origin_prod%3A</t>
  </si>
  <si>
    <t>Sheet metal parts vary by production. Currently, the parts are designed for the following coefficients and radii: 
 K=0.47: 
 sheet 0.8 mm - R=1.2; 
 sheet 1.2 mm - R=1.5; 
 sheet 2.0 mm - R=2.4.</t>
  </si>
  <si>
    <t>Front panel - down</t>
  </si>
  <si>
    <t>After bending, parts could be painted.</t>
  </si>
  <si>
    <t>After painting, we install riveting nuts. It is allowed to install riveting nuts before painting, provided that the threaded part of the nuts is protected from coating.</t>
  </si>
  <si>
    <t>Screws installed without lock washers - fix with a thread lock (eg Loxeal 55-03).</t>
  </si>
  <si>
    <t>There may be nuances with block bearings. All details are strongly interconnected and depend on each other.</t>
  </si>
  <si>
    <t>inverter</t>
  </si>
  <si>
    <t>2000W DC--&gt; AC</t>
  </si>
  <si>
    <t>Powers steam boilers + systems</t>
  </si>
  <si>
    <t>Support assemblies to base</t>
  </si>
  <si>
    <t>DC-DC Converter</t>
  </si>
  <si>
    <t>LM2596 Buck Converter (24V → 5V, ≥5A)</t>
  </si>
  <si>
    <t>Power supply for Raspberry Pi</t>
  </si>
  <si>
    <t>DROK 24V → 5V/12V Step-Down Module</t>
  </si>
  <si>
    <t>Power supply for sensors and auxiliary electronics</t>
  </si>
  <si>
    <t>Light duty swivel castors to base</t>
  </si>
  <si>
    <t>Protection</t>
  </si>
  <si>
    <t>Inline fuse (rated above motor current)</t>
  </si>
  <si>
    <t>Overcurrent protection on main power line</t>
  </si>
  <si>
    <t>Safety
E-stop switch'</t>
  </si>
  <si>
    <t>Emergency stop switch</t>
  </si>
  <si>
    <t>Manual power cutoff for safety</t>
  </si>
  <si>
    <t>Wheel assemblies to base</t>
  </si>
  <si>
    <t>mechanical</t>
  </si>
  <si>
    <t>Cover assembly</t>
  </si>
  <si>
    <t>frame</t>
  </si>
  <si>
    <t>N/A</t>
  </si>
  <si>
    <t>laser cutting</t>
  </si>
  <si>
    <t>base plate</t>
  </si>
  <si>
    <t>laser cuttinga &amp; 3d printing</t>
  </si>
  <si>
    <t>DC drive motors</t>
  </si>
  <si>
    <t>Z4BLD60-24GN-30S (ZD geared BLDC, 
60 W / 24 V / 3.8 A / 3000 rpm / P=5)</t>
  </si>
  <si>
    <t>12V or 24V brushed DC, ~50-100W each for traction</t>
  </si>
  <si>
    <t>Base assembly</t>
  </si>
  <si>
    <r>
      <rPr>
        <rFont val="Arial"/>
        <color rgb="FF000000"/>
        <u/>
      </rPr>
      <t xml:space="preserve">https://www.omc-stepperonline.com/24v-60w-100rpm-geared-brushless-dc-motor-4-18nm-591-94oz-in-30-1-spur-gearbox-f5b60-24gn-30s-5gn30k
</t>
    </r>
    <r>
      <rPr>
        <rFont val="Arial"/>
        <color rgb="FF1155CC"/>
        <u/>
      </rPr>
      <t>https://www.robotshop.com/collections/brushless-dc-gear-motors</t>
    </r>
  </si>
  <si>
    <t>Wheel assembly</t>
  </si>
  <si>
    <t xml:space="preserve">Drive Wheels(0.2 diamater) + tires frame
</t>
  </si>
  <si>
    <t>wheel radius 0.2</t>
  </si>
  <si>
    <t>Sized for motor torque; matching pair for differential drive</t>
  </si>
  <si>
    <t xml:space="preserve">https://www.aliexpress.com/item/1005012385046827.html?spm=a2g0o.productlist.main.4.22d3wXP5wXP5vZ&amp;aem_p4p_detail=2026072719290412764704275289600000334626&amp;algo_pvid=0646cf27-275c-4c6d-8c56-5596914a3e65&amp;algo_exp_id=0646cf27-275c-4c6d-8c56-5596914a3e65-3&amp;pdp_ext_f=%7B%22order%22%3A%22-1%22%2C%22eval%22%3A%221%22%2C%22fromPage%22%3A%22search%22%7D&amp;pdp_npi=6%40dis%21HKD%2176.79%2139.93%21%21%2166.00%2134.32%21%400be7129d17852057448276429e0e18%2112000058231391301%21sea%21HK%210%21ABX%211%210%21n_tag%3A-29910%3Bd%3A308f4a59%3Bm03_new_user%3A-29895&amp;curPageLogUid=tT6pZrpOarf9&amp;utparam-url=scene%3Asearch%7Cquery_from%3A%7Cx_object_id%3A1005012385046827%7C_p_origin_prod%3A&amp;search_p4p_id=2026072719290412764704275289600000334626_1
</t>
  </si>
  <si>
    <t>Magnetic encoder</t>
  </si>
  <si>
    <t>Motor encoder sensors</t>
  </si>
  <si>
    <t>AMS AS5040 (magnetic, quadrature A/B,
 marking "AS5040 AB 2.2")</t>
  </si>
  <si>
    <t>Odometry feedback for each drive wheel</t>
  </si>
  <si>
    <t>Center bracket assembly</t>
  </si>
  <si>
    <r>
      <rPr>
        <rFont val="Arial"/>
        <color rgb="FF1155CC"/>
        <u/>
      </rPr>
      <t xml:space="preserve">
motor with encoder
https://makerspet.com/product/n20-encoder-motor-12v-200rpm/
https://www.soundwell.hk/products/encoders/incremental-encoder
https://hken.rs-online.com/web/c/passive-components/rotary-encoders/?pn=22</t>
    </r>
    <r>
      <rPr>
        <rFont val="Arial"/>
        <color rgb="FF1F1F1F"/>
      </rPr>
      <t xml:space="preserve">
</t>
    </r>
  </si>
  <si>
    <t xml:space="preserve">Motor driver </t>
  </si>
  <si>
    <t>ZBLD.C20-120L2R 
(Ningbo Zhongda Leader
 / ZD)
LM298N</t>
  </si>
  <si>
    <t xml:space="preserve">Dual-channel PWM control for left/right drive motors
 12779 stepper driver </t>
  </si>
  <si>
    <t>Support assembly</t>
  </si>
  <si>
    <t>get it from sham sui po store</t>
  </si>
  <si>
    <t xml:space="preserve">Caster wheel </t>
  </si>
  <si>
    <t>generic</t>
  </si>
  <si>
    <t>Balance/pivot wheels at front or rear</t>
  </si>
  <si>
    <t>AEROSOL STERILIZATION</t>
  </si>
  <si>
    <t>Aerosol nozzle/atomizer head</t>
  </si>
  <si>
    <t>1/4JN-SS+SU11-SS (Spraying Systems Co.)</t>
  </si>
  <si>
    <t>Fine mist spray; can be fixed or rotatable</t>
  </si>
  <si>
    <t>HEPA filter cartridge (H13/H14)</t>
  </si>
  <si>
    <t>Size-dependent — no universal PN. Reference grade: H13 per EN 1822</t>
  </si>
  <si>
    <t>2× cartridges for redundancy or rotation</t>
  </si>
  <si>
    <t>Lidar support assembly</t>
  </si>
  <si>
    <t>Blower motor (12V/24V brushless)</t>
  </si>
  <si>
    <t>RBM7530B1 (Pelonis Technologies, RB7530 Series DC Centrifugal Blower)</t>
  </si>
  <si>
    <t>Air circulation; lower noise than brushed</t>
  </si>
  <si>
    <t>MOSFET driver for fan</t>
  </si>
  <si>
    <t>IR2104SPBF (Infineon Technologies)</t>
  </si>
  <si>
    <t>Switch fan on/off from Arduino GPIO</t>
  </si>
  <si>
    <t>Total:</t>
  </si>
  <si>
    <t>Pressure differential sensor</t>
  </si>
  <si>
    <t>SDP810-500PA (Sensirion AG)</t>
  </si>
  <si>
    <t>Detect HEPA clogging</t>
  </si>
  <si>
    <t>Solenoid shutoff valve (aerosol)</t>
  </si>
  <si>
    <t>Bürkert Type 7011</t>
  </si>
  <si>
    <t>Control steam to aerosol nozzle</t>
  </si>
  <si>
    <t>Flexible steam hose + fittings</t>
  </si>
  <si>
    <t>3D printing</t>
  </si>
  <si>
    <t>Connect boiler to aerosol nozzle</t>
  </si>
  <si>
    <t>Steam Generation</t>
  </si>
  <si>
    <t>Boiler</t>
  </si>
  <si>
    <t>Generic</t>
  </si>
  <si>
    <t>10 bar pressure, built in thermostate, thermal fuse, insulated casing</t>
  </si>
  <si>
    <t>Water Tank</t>
  </si>
  <si>
    <t>0.5 L capacity, with water level indicator/sensor</t>
  </si>
  <si>
    <t>0.5L for the mvp</t>
  </si>
  <si>
    <t>Water Pump</t>
  </si>
  <si>
    <t>Peristaltic, 30 mL/min discharge rate</t>
  </si>
  <si>
    <t>Check valve</t>
  </si>
  <si>
    <t>Non-return valve; does not flow back</t>
  </si>
  <si>
    <t>Water tubing</t>
  </si>
  <si>
    <t>flow of water</t>
  </si>
  <si>
    <t>water level sensor</t>
  </si>
  <si>
    <t>TE Connectivity VS801-5</t>
  </si>
  <si>
    <t>measure water level</t>
  </si>
  <si>
    <t>Steam distribution</t>
  </si>
  <si>
    <t>Steam hose</t>
  </si>
  <si>
    <t>Synthetic braid flexible butyl rubber, rated ~6 bar / ~165 °C</t>
  </si>
  <si>
    <t>3d printed</t>
  </si>
  <si>
    <t>Nozzle</t>
  </si>
  <si>
    <t>Heat-resistant nylon bracket, custom twin-arm design (2 slits, 2 mm height, 4 mm nozzle opening)</t>
  </si>
  <si>
    <t>Thermocouples+ 
MAX31855 breakout</t>
  </si>
  <si>
    <t xml:space="preserve">Range 600 °C, </t>
  </si>
  <si>
    <t>TOF sensor</t>
  </si>
  <si>
    <t>4–30cm range (e.g. VL53L0X-class), floor-facing</t>
  </si>
  <si>
    <t>linear actuator</t>
  </si>
  <si>
    <t>Roboclaw Motor</t>
  </si>
  <si>
    <t>Mounted on middle-layer base plate</t>
  </si>
  <si>
    <t>actuator motor control/ 
dual channel motor controller</t>
  </si>
  <si>
    <t>Sabertooth 2X12
Roboclaw motor controller</t>
  </si>
  <si>
    <t>optimized for dual independent linear actuators</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</si>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</sst>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
  </numFmts>
  <fonts count="20">
    <font>
      <sz val="10.0"/>
      <color rgb="FF000000"/>
      <name val="Arial"/>
      <scheme val="minor"/>
    </font>
    <font>
      <color rgb="FF000000"/>
      <name val="Abadi"/>
    </font>
    <font>
      <color theme="1"/>
      <name val="Arial"/>
      <scheme val="minor"/>
    </font>
    <font>
      <b/>
      <sz val="11.0"/>
      <color theme="1"/>
      <name val="&quot;Google Sans&quot;"/>
    </font>
    <font>
      <b/>
      <color theme="1"/>
      <name val="Arial"/>
      <scheme val="minor"/>
    </font>
    <font>
      <sz val="11.0"/>
      <color theme="1"/>
      <name val="&quot;Google Sans&quot;"/>
    </font>
    <font>
      <u/>
      <color rgb="FF0000FF"/>
    </font>
    <font>
      <u/>
      <color rgb="FF0000FF"/>
    </font>
    <font>
      <b/>
      <sz val="14.0"/>
      <color rgb="FF1F4E5F"/>
      <name val="Arial"/>
    </font>
    <font>
      <color theme="1"/>
      <name val="Arial"/>
    </font>
    <font>
      <b/>
      <i/>
      <sz val="9.0"/>
      <color rgb="FF000000"/>
      <name val="Arial"/>
    </font>
    <font>
      <sz val="11.0"/>
      <color rgb="FF000000"/>
      <name val="Arial"/>
    </font>
    <font>
      <sz val="12.0"/>
      <color rgb="FF000000"/>
      <name val="Arial"/>
    </font>
    <font>
      <sz val="14.0"/>
      <color rgb="FF000000"/>
      <name val="Arial"/>
    </font>
    <font>
      <b/>
      <sz val="12.0"/>
      <color rgb="FF000000"/>
      <name val="Arial"/>
    </font>
    <font>
      <color rgb="FF000000"/>
      <name val="Arial"/>
    </font>
    <font>
      <sz val="11.0"/>
      <color rgb="FF000000"/>
      <name val="Calibri"/>
    </font>
    <font>
      <u/>
      <color theme="1"/>
      <name val="Arial"/>
    </font>
    <font>
      <u/>
      <color rgb="FF000000"/>
      <name val="Arial"/>
    </font>
    <font>
      <u/>
      <color rgb="FF0000FF"/>
      <name val="Arial"/>
    </font>
  </fonts>
  <fills count="14">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CCCCCC"/>
        <bgColor rgb="FFCCCCCC"/>
      </patternFill>
    </fill>
    <fill>
      <patternFill patternType="solid">
        <fgColor rgb="FFD0E0E3"/>
        <bgColor rgb="FFD0E0E3"/>
      </patternFill>
    </fill>
    <fill>
      <patternFill patternType="solid">
        <fgColor rgb="FFCFE2F3"/>
        <bgColor rgb="FFCFE2F3"/>
      </patternFill>
    </fill>
    <fill>
      <patternFill patternType="solid">
        <fgColor rgb="FFC5D9F1"/>
        <bgColor rgb="FFC5D9F1"/>
      </patternFill>
    </fill>
    <fill>
      <patternFill patternType="solid">
        <fgColor rgb="FFD9D2E9"/>
        <bgColor rgb="FFD9D2E9"/>
      </patternFill>
    </fill>
    <fill>
      <patternFill patternType="solid">
        <fgColor rgb="FFE6B8AF"/>
        <bgColor rgb="FFE6B8AF"/>
      </patternFill>
    </fill>
    <fill>
      <patternFill patternType="solid">
        <fgColor rgb="FFEBF1DE"/>
        <bgColor rgb="FFEBF1DE"/>
      </patternFill>
    </fill>
    <fill>
      <patternFill patternType="solid">
        <fgColor rgb="FFC9DAF8"/>
        <bgColor rgb="FFC9DAF8"/>
      </patternFill>
    </fill>
    <fill>
      <patternFill patternType="solid">
        <fgColor rgb="FFD9D9D9"/>
        <bgColor rgb="FFD9D9D9"/>
      </patternFill>
    </fill>
    <fill>
      <patternFill patternType="solid">
        <fgColor rgb="FFEAD1DC"/>
        <bgColor rgb="FFEAD1DC"/>
      </patternFill>
    </fill>
  </fills>
  <borders count="10">
    <border/>
    <border>
      <left style="thin">
        <color rgb="FF000000"/>
      </left>
      <right style="thin">
        <color rgb="FF000000"/>
      </right>
      <top style="thin">
        <color rgb="FF000000"/>
      </top>
      <bottom style="thin">
        <color rgb="FF000000"/>
      </bottom>
    </border>
    <border>
      <bottom style="thin">
        <color rgb="FF444746"/>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1" numFmtId="0" xfId="0" applyAlignment="1" applyFont="1">
      <alignment shrinkToFit="0" vertical="bottom" wrapText="0"/>
    </xf>
    <xf borderId="1" fillId="0" fontId="3" numFmtId="0" xfId="0" applyAlignment="1" applyBorder="1" applyFont="1">
      <alignment horizontal="center" readingOrder="0"/>
    </xf>
    <xf borderId="0" fillId="0" fontId="4" numFmtId="0" xfId="0" applyAlignment="1" applyFont="1">
      <alignment readingOrder="0"/>
    </xf>
    <xf borderId="1" fillId="0" fontId="3" numFmtId="0" xfId="0" applyAlignment="1" applyBorder="1" applyFont="1">
      <alignment horizontal="left" readingOrder="0"/>
    </xf>
    <xf borderId="2" fillId="0" fontId="3" numFmtId="0" xfId="0" applyAlignment="1" applyBorder="1" applyFont="1">
      <alignment horizontal="center" readingOrder="0"/>
    </xf>
    <xf borderId="0" fillId="0" fontId="1" numFmtId="0" xfId="0" applyAlignment="1" applyFont="1">
      <alignment horizontal="right" readingOrder="0" shrinkToFit="0" vertical="bottom" wrapText="0"/>
    </xf>
    <xf borderId="0" fillId="0" fontId="1" numFmtId="164" xfId="0" applyAlignment="1" applyFont="1" applyNumberFormat="1">
      <alignment horizontal="right" readingOrder="0" shrinkToFit="0" vertical="bottom" wrapText="0"/>
    </xf>
    <xf borderId="1" fillId="0" fontId="3" numFmtId="0" xfId="0" applyAlignment="1" applyBorder="1" applyFont="1">
      <alignment readingOrder="0"/>
    </xf>
    <xf borderId="0" fillId="2" fontId="2" numFmtId="0" xfId="0" applyFill="1" applyFont="1"/>
    <xf borderId="1" fillId="0" fontId="5" numFmtId="0" xfId="0" applyAlignment="1" applyBorder="1" applyFont="1">
      <alignment readingOrder="0"/>
    </xf>
    <xf borderId="0" fillId="2" fontId="4" numFmtId="0" xfId="0" applyAlignment="1" applyFont="1">
      <alignment readingOrder="0"/>
    </xf>
    <xf borderId="2" fillId="0" fontId="5" numFmtId="0" xfId="0" applyAlignment="1" applyBorder="1" applyFont="1">
      <alignment readingOrder="0"/>
    </xf>
    <xf borderId="0" fillId="2" fontId="2"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xf>
    <xf borderId="0" fillId="2" fontId="4" numFmtId="0" xfId="0" applyAlignment="1" applyFont="1">
      <alignment horizontal="center" readingOrder="0"/>
    </xf>
    <xf borderId="0" fillId="0" fontId="8" numFmtId="0" xfId="0" applyAlignment="1" applyFont="1">
      <alignment shrinkToFit="0" vertical="bottom" wrapText="0"/>
    </xf>
    <xf borderId="0" fillId="0" fontId="9" numFmtId="0" xfId="0" applyFont="1"/>
    <xf borderId="0" fillId="0" fontId="10" numFmtId="0" xfId="0" applyAlignment="1" applyFont="1">
      <alignment shrinkToFit="0" vertical="bottom" wrapText="0"/>
    </xf>
    <xf borderId="0" fillId="3" fontId="2" numFmtId="0" xfId="0" applyFill="1" applyFont="1"/>
    <xf borderId="0" fillId="3" fontId="4" numFmtId="0" xfId="0" applyAlignment="1" applyFont="1">
      <alignment readingOrder="0"/>
    </xf>
    <xf borderId="0" fillId="0" fontId="11" numFmtId="0" xfId="0" applyAlignment="1" applyFont="1">
      <alignment shrinkToFit="0" vertical="bottom" wrapText="0"/>
    </xf>
    <xf borderId="0" fillId="0" fontId="11" numFmtId="0" xfId="0" applyAlignment="1" applyFont="1">
      <alignment horizontal="center" shrinkToFit="0" wrapText="0"/>
    </xf>
    <xf borderId="1" fillId="4" fontId="12" numFmtId="0" xfId="0" applyAlignment="1" applyBorder="1" applyFill="1" applyFont="1">
      <alignment horizontal="center" shrinkToFit="0" wrapText="0"/>
    </xf>
    <xf borderId="0" fillId="3" fontId="2" numFmtId="0" xfId="0" applyAlignment="1" applyFont="1">
      <alignment readingOrder="0"/>
    </xf>
    <xf borderId="0" fillId="0" fontId="13" numFmtId="0" xfId="0" applyAlignment="1" applyFont="1">
      <alignment horizontal="center" shrinkToFit="0" wrapText="0"/>
    </xf>
    <xf borderId="0" fillId="0" fontId="13" numFmtId="0" xfId="0" applyAlignment="1" applyFont="1">
      <alignment shrinkToFit="0" vertical="bottom" wrapText="0"/>
    </xf>
    <xf borderId="3" fillId="4" fontId="12" numFmtId="0" xfId="0" applyAlignment="1" applyBorder="1" applyFont="1">
      <alignment shrinkToFit="0" wrapText="0"/>
    </xf>
    <xf borderId="0" fillId="0" fontId="13" numFmtId="0" xfId="0" applyAlignment="1" applyFont="1">
      <alignment horizontal="center" shrinkToFit="0" vertical="bottom" wrapText="0"/>
    </xf>
    <xf borderId="3" fillId="4" fontId="12" numFmtId="0" xfId="0" applyAlignment="1" applyBorder="1" applyFont="1">
      <alignment horizontal="center" shrinkToFit="0" wrapText="0"/>
    </xf>
    <xf borderId="1" fillId="0" fontId="14" numFmtId="0" xfId="0" applyAlignment="1" applyBorder="1" applyFont="1">
      <alignment horizontal="center"/>
    </xf>
    <xf borderId="0" fillId="0" fontId="15" numFmtId="0" xfId="0" applyAlignment="1" applyFont="1">
      <alignment shrinkToFit="0" vertical="bottom" wrapText="0"/>
    </xf>
    <xf borderId="1" fillId="0" fontId="12" numFmtId="0" xfId="0" applyAlignment="1" applyBorder="1" applyFont="1">
      <alignment horizontal="center" shrinkToFit="0" wrapText="0"/>
    </xf>
    <xf borderId="1" fillId="0" fontId="12" numFmtId="0" xfId="0" applyAlignment="1" applyBorder="1" applyFont="1">
      <alignment shrinkToFit="0" wrapText="0"/>
    </xf>
    <xf borderId="3" fillId="0" fontId="12" numFmtId="0" xfId="0" applyAlignment="1" applyBorder="1" applyFont="1">
      <alignment horizontal="center" shrinkToFit="0" wrapText="0"/>
    </xf>
    <xf borderId="1" fillId="0" fontId="14" numFmtId="0" xfId="0" applyAlignment="1" applyBorder="1" applyFont="1">
      <alignment horizontal="center" readingOrder="0"/>
    </xf>
    <xf borderId="4" fillId="0" fontId="12" numFmtId="0" xfId="0" applyAlignment="1" applyBorder="1" applyFont="1">
      <alignment horizontal="center" shrinkToFit="0" wrapText="0"/>
    </xf>
    <xf borderId="0" fillId="0" fontId="9" numFmtId="0" xfId="0" applyAlignment="1" applyFont="1">
      <alignment readingOrder="0"/>
    </xf>
    <xf borderId="5" fillId="0" fontId="12" numFmtId="0" xfId="0" applyAlignment="1" applyBorder="1" applyFont="1">
      <alignment horizontal="center" shrinkToFit="0" wrapText="0"/>
    </xf>
    <xf borderId="1" fillId="4" fontId="13" numFmtId="0" xfId="0" applyAlignment="1" applyBorder="1" applyFont="1">
      <alignment horizontal="center" shrinkToFit="0" wrapText="0"/>
    </xf>
    <xf borderId="1" fillId="0" fontId="11" numFmtId="0" xfId="0" applyAlignment="1" applyBorder="1" applyFont="1">
      <alignment shrinkToFit="0" vertical="bottom" wrapText="0"/>
    </xf>
    <xf borderId="1" fillId="4" fontId="13" numFmtId="0" xfId="0" applyAlignment="1" applyBorder="1" applyFont="1">
      <alignment horizontal="center"/>
    </xf>
    <xf borderId="1" fillId="4" fontId="12" numFmtId="0" xfId="0" applyAlignment="1" applyBorder="1" applyFont="1">
      <alignment horizontal="center"/>
    </xf>
    <xf borderId="1" fillId="4" fontId="15" numFmtId="0" xfId="0" applyAlignment="1" applyBorder="1" applyFont="1">
      <alignment horizontal="center"/>
    </xf>
    <xf borderId="1" fillId="0" fontId="11" numFmtId="0" xfId="0" applyAlignment="1" applyBorder="1" applyFont="1">
      <alignment horizontal="center" shrinkToFit="0" wrapText="0"/>
    </xf>
    <xf borderId="0" fillId="5" fontId="2" numFmtId="0" xfId="0" applyFill="1" applyFont="1"/>
    <xf borderId="0" fillId="5" fontId="4" numFmtId="0" xfId="0" applyAlignment="1" applyFont="1">
      <alignment readingOrder="0"/>
    </xf>
    <xf borderId="0" fillId="5" fontId="2" numFmtId="0" xfId="0" applyAlignment="1" applyFont="1">
      <alignment readingOrder="0"/>
    </xf>
    <xf borderId="1" fillId="6" fontId="11" numFmtId="0" xfId="0" applyAlignment="1" applyBorder="1" applyFill="1" applyFont="1">
      <alignment shrinkToFit="0" vertical="bottom" wrapText="0"/>
    </xf>
    <xf borderId="1" fillId="6" fontId="11" numFmtId="0" xfId="0" applyAlignment="1" applyBorder="1" applyFont="1">
      <alignment vertical="bottom"/>
    </xf>
    <xf borderId="1" fillId="7" fontId="11" numFmtId="0" xfId="0" applyAlignment="1" applyBorder="1" applyFill="1" applyFont="1">
      <alignment horizontal="center" shrinkToFit="0" wrapText="0"/>
    </xf>
    <xf borderId="1" fillId="7" fontId="16" numFmtId="0" xfId="0" applyAlignment="1" applyBorder="1" applyFont="1">
      <alignment horizontal="right" readingOrder="0" shrinkToFit="0" vertical="bottom" wrapText="0"/>
    </xf>
    <xf borderId="4" fillId="0" fontId="13" numFmtId="0" xfId="0" applyAlignment="1" applyBorder="1" applyFont="1">
      <alignment horizontal="center" shrinkToFit="0" wrapText="0"/>
    </xf>
    <xf borderId="4" fillId="0" fontId="13" numFmtId="0" xfId="0" applyAlignment="1" applyBorder="1" applyFont="1">
      <alignment shrinkToFit="0" vertical="bottom" wrapText="0"/>
    </xf>
    <xf borderId="5" fillId="0" fontId="13" numFmtId="0" xfId="0" applyAlignment="1" applyBorder="1" applyFont="1">
      <alignment horizontal="center" shrinkToFit="0" vertical="bottom" wrapText="0"/>
    </xf>
    <xf borderId="5" fillId="0" fontId="13" numFmtId="0" xfId="0" applyAlignment="1" applyBorder="1" applyFont="1">
      <alignment horizontal="center" shrinkToFit="0" wrapText="0"/>
    </xf>
    <xf borderId="1" fillId="7" fontId="11" numFmtId="0" xfId="0" applyAlignment="1" applyBorder="1" applyFont="1">
      <alignment horizontal="center" readingOrder="0" shrinkToFit="0" wrapText="0"/>
    </xf>
    <xf borderId="6" fillId="0" fontId="13" numFmtId="0" xfId="0" applyAlignment="1" applyBorder="1" applyFont="1">
      <alignment horizontal="center" shrinkToFit="0" wrapText="0"/>
    </xf>
    <xf borderId="7" fillId="0" fontId="13" numFmtId="0" xfId="0" applyAlignment="1" applyBorder="1" applyFont="1">
      <alignment horizontal="center" shrinkToFit="0" wrapText="0"/>
    </xf>
    <xf borderId="1" fillId="0" fontId="12" numFmtId="0" xfId="0" applyAlignment="1" applyBorder="1" applyFont="1">
      <alignment shrinkToFit="0" vertical="bottom" wrapText="0"/>
    </xf>
    <xf borderId="0" fillId="8" fontId="2" numFmtId="0" xfId="0" applyFill="1" applyFont="1"/>
    <xf borderId="0" fillId="8" fontId="4" numFmtId="0" xfId="0" applyAlignment="1" applyFont="1">
      <alignment readingOrder="0"/>
    </xf>
    <xf borderId="0" fillId="8" fontId="2" numFmtId="0" xfId="0" applyAlignment="1" applyFont="1">
      <alignment readingOrder="0"/>
    </xf>
    <xf borderId="1" fillId="6" fontId="11" numFmtId="0" xfId="0" applyAlignment="1" applyBorder="1" applyFont="1">
      <alignment readingOrder="0" shrinkToFit="0" vertical="bottom" wrapText="0"/>
    </xf>
    <xf borderId="0" fillId="9" fontId="2" numFmtId="0" xfId="0" applyFill="1" applyFont="1"/>
    <xf borderId="0" fillId="9" fontId="4" numFmtId="0" xfId="0" applyAlignment="1" applyFont="1">
      <alignment readingOrder="0"/>
    </xf>
    <xf borderId="0" fillId="9" fontId="2" numFmtId="0" xfId="0" applyAlignment="1" applyFont="1">
      <alignment readingOrder="0"/>
    </xf>
    <xf borderId="5" fillId="0" fontId="12" numFmtId="0" xfId="0" applyAlignment="1" applyBorder="1" applyFont="1">
      <alignment shrinkToFit="0" vertical="bottom" wrapText="0"/>
    </xf>
    <xf borderId="0" fillId="0" fontId="17" numFmtId="0" xfId="0" applyAlignment="1" applyFont="1">
      <alignment readingOrder="0"/>
    </xf>
    <xf borderId="0" fillId="0" fontId="9" numFmtId="0" xfId="0" applyAlignment="1" applyFont="1">
      <alignment readingOrder="0"/>
    </xf>
    <xf borderId="1" fillId="8" fontId="11" numFmtId="0" xfId="0" applyAlignment="1" applyBorder="1" applyFont="1">
      <alignment shrinkToFit="0" vertical="bottom" wrapText="0"/>
    </xf>
    <xf borderId="1" fillId="8" fontId="11" numFmtId="0" xfId="0" applyAlignment="1" applyBorder="1" applyFont="1">
      <alignment horizontal="center" shrinkToFit="0" wrapText="0"/>
    </xf>
    <xf borderId="1" fillId="8" fontId="11" numFmtId="0" xfId="0" applyAlignment="1" applyBorder="1" applyFont="1">
      <alignment horizontal="center" readingOrder="0" shrinkToFit="0" wrapText="0"/>
    </xf>
    <xf borderId="1" fillId="4" fontId="12" numFmtId="0" xfId="0" applyAlignment="1" applyBorder="1" applyFont="1">
      <alignment horizontal="center" shrinkToFit="0" vertical="top" wrapText="0"/>
    </xf>
    <xf borderId="1" fillId="4" fontId="12" numFmtId="0" xfId="0" applyAlignment="1" applyBorder="1" applyFont="1">
      <alignment vertical="bottom"/>
    </xf>
    <xf borderId="4" fillId="0" fontId="12" numFmtId="0" xfId="0" applyAlignment="1" applyBorder="1" applyFont="1">
      <alignment horizontal="center" shrinkToFit="0" vertical="top" wrapText="0"/>
    </xf>
    <xf borderId="5" fillId="0" fontId="12" numFmtId="0" xfId="0" applyAlignment="1" applyBorder="1" applyFont="1">
      <alignment vertical="bottom"/>
    </xf>
    <xf borderId="1" fillId="0" fontId="12" numFmtId="0" xfId="0" applyAlignment="1" applyBorder="1" applyFont="1">
      <alignment horizontal="center" shrinkToFit="0" vertical="top" wrapText="0"/>
    </xf>
    <xf borderId="1" fillId="0" fontId="12" numFmtId="0" xfId="0" applyAlignment="1" applyBorder="1" applyFont="1">
      <alignment vertical="bottom"/>
    </xf>
    <xf borderId="1" fillId="8" fontId="11" numFmtId="0" xfId="0" applyAlignment="1" applyBorder="1" applyFont="1">
      <alignment readingOrder="0" shrinkToFit="0" vertical="bottom" wrapText="0"/>
    </xf>
    <xf borderId="1" fillId="10" fontId="11" numFmtId="0" xfId="0" applyAlignment="1" applyBorder="1" applyFill="1" applyFont="1">
      <alignment shrinkToFit="0" vertical="bottom" wrapText="0"/>
    </xf>
    <xf borderId="1" fillId="0" fontId="13" numFmtId="0" xfId="0" applyAlignment="1" applyBorder="1" applyFont="1">
      <alignment horizontal="left" shrinkToFit="0" vertical="bottom" wrapText="0"/>
    </xf>
    <xf borderId="1" fillId="10" fontId="11" numFmtId="0" xfId="0" applyAlignment="1" applyBorder="1" applyFont="1">
      <alignment horizontal="center" shrinkToFit="0" wrapText="0"/>
    </xf>
    <xf borderId="1" fillId="10" fontId="16" numFmtId="0" xfId="0" applyAlignment="1" applyBorder="1" applyFont="1">
      <alignment horizontal="right" readingOrder="0" shrinkToFit="0" vertical="bottom" wrapText="0"/>
    </xf>
    <xf borderId="1" fillId="0" fontId="13" numFmtId="0" xfId="0" applyAlignment="1" applyBorder="1" applyFont="1">
      <alignment horizontal="center" shrinkToFit="0" wrapText="0"/>
    </xf>
    <xf borderId="0" fillId="0" fontId="18" numFmtId="0" xfId="0" applyAlignment="1" applyFont="1">
      <alignment readingOrder="0"/>
    </xf>
    <xf borderId="1" fillId="10" fontId="11" numFmtId="0" xfId="0" applyAlignment="1" applyBorder="1" applyFont="1">
      <alignment readingOrder="0" shrinkToFit="0" vertical="bottom" wrapText="0"/>
    </xf>
    <xf borderId="0" fillId="0" fontId="19" numFmtId="0" xfId="0" applyAlignment="1" applyFont="1">
      <alignment readingOrder="0"/>
    </xf>
    <xf borderId="1" fillId="11" fontId="11" numFmtId="0" xfId="0" applyAlignment="1" applyBorder="1" applyFill="1" applyFont="1">
      <alignment shrinkToFit="0" vertical="bottom" wrapText="0"/>
    </xf>
    <xf borderId="1" fillId="11" fontId="11" numFmtId="0" xfId="0" applyAlignment="1" applyBorder="1" applyFont="1">
      <alignment horizontal="center" shrinkToFit="0" wrapText="0"/>
    </xf>
    <xf borderId="1" fillId="11" fontId="11" numFmtId="0" xfId="0" applyAlignment="1" applyBorder="1" applyFont="1">
      <alignment horizontal="center" readingOrder="0" shrinkToFit="0" wrapText="0"/>
    </xf>
    <xf borderId="1" fillId="0" fontId="13" numFmtId="0" xfId="0" applyAlignment="1" applyBorder="1" applyFont="1">
      <alignment shrinkToFit="0" wrapText="0"/>
    </xf>
    <xf borderId="1" fillId="12" fontId="13" numFmtId="0" xfId="0" applyAlignment="1" applyBorder="1" applyFill="1" applyFont="1">
      <alignment horizontal="center" shrinkToFit="0" wrapText="0"/>
    </xf>
    <xf borderId="3" fillId="12" fontId="13" numFmtId="0" xfId="0" applyAlignment="1" applyBorder="1" applyFont="1">
      <alignment shrinkToFit="0" wrapText="0"/>
    </xf>
    <xf borderId="3" fillId="12" fontId="13" numFmtId="0" xfId="0" applyAlignment="1" applyBorder="1" applyFont="1">
      <alignment horizontal="center" shrinkToFit="0" wrapText="0"/>
    </xf>
    <xf borderId="8" fillId="12" fontId="13" numFmtId="0" xfId="0" applyAlignment="1" applyBorder="1" applyFont="1">
      <alignment horizontal="center" shrinkToFit="0" wrapText="0"/>
    </xf>
    <xf borderId="9" fillId="12" fontId="13" numFmtId="0" xfId="0" applyAlignment="1" applyBorder="1" applyFont="1">
      <alignment horizontal="center" shrinkToFit="0" wrapText="0"/>
    </xf>
    <xf borderId="1" fillId="0" fontId="9" numFmtId="0" xfId="0" applyBorder="1" applyFont="1"/>
    <xf borderId="1" fillId="13" fontId="9" numFmtId="0" xfId="0" applyAlignment="1" applyBorder="1" applyFill="1" applyFont="1">
      <alignment shrinkToFit="0" vertical="top" wrapText="0"/>
    </xf>
    <xf borderId="1" fillId="13" fontId="9" numFmtId="0" xfId="0" applyAlignment="1" applyBorder="1" applyFont="1">
      <alignment horizontal="left" vertical="top"/>
    </xf>
    <xf borderId="1" fillId="13" fontId="9" numFmtId="0" xfId="0" applyAlignment="1" applyBorder="1" applyFont="1">
      <alignment horizontal="center"/>
    </xf>
    <xf borderId="1" fillId="13" fontId="9" numFmtId="0" xfId="0" applyAlignment="1" applyBorder="1" applyFont="1">
      <alignment horizontal="center" readingOrder="0"/>
    </xf>
    <xf borderId="1" fillId="13" fontId="11" numFmtId="0" xfId="0" applyAlignment="1" applyBorder="1" applyFont="1">
      <alignment shrinkToFit="0" vertical="top" wrapText="0"/>
    </xf>
    <xf borderId="1" fillId="13" fontId="11" numFmtId="0" xfId="0" applyAlignment="1" applyBorder="1" applyFont="1">
      <alignment horizontal="center" shrinkToFit="0" wrapText="0"/>
    </xf>
    <xf borderId="1" fillId="13" fontId="11" numFmtId="0" xfId="0" applyAlignment="1" applyBorder="1" applyFont="1">
      <alignment horizontal="center" readingOrder="0" shrinkToFit="0" wrapText="0"/>
    </xf>
    <xf borderId="1" fillId="2" fontId="11" numFmtId="0" xfId="0" applyAlignment="1" applyBorder="1" applyFont="1">
      <alignment shrinkToFit="0" vertical="bottom" wrapText="0"/>
    </xf>
    <xf borderId="1" fillId="2" fontId="11" numFmtId="0" xfId="0" applyAlignment="1" applyBorder="1" applyFont="1">
      <alignment horizontal="center" shrinkToFit="0" wrapText="0"/>
    </xf>
    <xf borderId="1" fillId="2" fontId="11" numFmtId="0" xfId="0" applyAlignment="1" applyBorder="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752475</xdr:colOff>
      <xdr:row>49</xdr:row>
      <xdr:rowOff>190500</xdr:rowOff>
    </xdr:from>
    <xdr:ext cx="6057900" cy="32004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161925</xdr:colOff>
      <xdr:row>66</xdr:row>
      <xdr:rowOff>152400</xdr:rowOff>
    </xdr:from>
    <xdr:ext cx="7181850" cy="38004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5</xdr:row>
      <xdr:rowOff>0</xdr:rowOff>
    </xdr:from>
    <xdr:ext cx="85725" cy="2000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sheater.com/industrial-heaters/tubular-heater/electric-water-heater-coil.html" TargetMode="External"/><Relationship Id="rId2" Type="http://schemas.openxmlformats.org/officeDocument/2006/relationships/hyperlink" Target="https://bodenpump.com/" TargetMode="External"/><Relationship Id="rId3" Type="http://schemas.openxmlformats.org/officeDocument/2006/relationships/hyperlink" Target="https://www.dyxpump.com/" TargetMode="External"/><Relationship Id="rId4" Type="http://schemas.openxmlformats.org/officeDocument/2006/relationships/hyperlink" Target="https://www.made-in-china.com/showroom/testeck2016/" TargetMode="External"/><Relationship Id="rId5" Type="http://schemas.openxmlformats.org/officeDocument/2006/relationships/hyperlink" Target="https://www.meishuo-relay.com/solenoid-valves/" TargetMode="External"/><Relationship Id="rId6" Type="http://schemas.openxmlformats.org/officeDocument/2006/relationships/hyperlink" Target="https://www.chunkerowaterplant.com/product/sus-304316-sterile-water-storage-tanks" TargetMode="External"/><Relationship Id="rId7" Type="http://schemas.openxmlformats.org/officeDocument/2006/relationships/hyperlink" Target="https://robotinfo.dev/"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digikey.hk/en/products/detail/ceva-technologies-inc/BNO085/9445940?utm_source=chatgpt.com" TargetMode="External"/><Relationship Id="rId2" Type="http://schemas.openxmlformats.org/officeDocument/2006/relationships/hyperlink" Target="https://www.aliexpress.com/item/1005009744289146.html?spm=a2g0o.productlist.main.1.33f9cnchcnchGu&amp;algo_pvid=27b6b742-9c04-48cc-852e-9b7233d17d7a&amp;algo_exp_id=27b6b742-9c04-48cc-852e-9b7233d17d7a-0&amp;pdp_ext_f=%7B%22order%22%3A%22-1%22%2C%22eval%22%3A%221%22%2C%22fromPage%22%3A%22search%22%7D&amp;pdp_npi=6%40dis%21HKD%212716.77%211331.22%21%21%212335.00%211144.15%21%4021413b0b17852042720967427e0c4a%2112000050018518417%21sea%21HK%210%21ABX%211%210%21n_tag%3A-29910%3Bd%3A308f4a59%3Bm03_new_user%3A-29895&amp;curPageLogUid=pNvxQOzD2u9C&amp;utparam-url=scene%3Asearch%7Cquery_from%3A%7Cx_object_id%3A1005009744289146%7C_p_origin_prod%3A" TargetMode="External"/><Relationship Id="rId3" Type="http://schemas.openxmlformats.org/officeDocument/2006/relationships/hyperlink" Target="https://www.omc-stepperonline.com/24v-60w-100rpm-geared-brushless-dc-motor-4-18nm-591-94oz-in-30-1-spur-gearbox-f5b60-24gn-30s-5gn30k" TargetMode="External"/><Relationship Id="rId4" Type="http://schemas.openxmlformats.org/officeDocument/2006/relationships/hyperlink" Target="https://www.aliexpress.com/item/1005012385046827.html?spm=a2g0o.productlist.main.4.22d3wXP5wXP5vZ&amp;aem_p4p_detail=2026072719290412764704275289600000334626&amp;algo_pvid=0646cf27-275c-4c6d-8c56-5596914a3e65&amp;algo_exp_id=0646cf27-275c-4c6d-8c56-5596914a3e65-3&amp;pdp_ext_f=%7B%22order%22%3A%22-1%22%2C%22eval%22%3A%221%22%2C%22fromPage%22%3A%22search%22%7D&amp;pdp_npi=6%40dis%21HKD%2176.79%2139.93%21%21%2166.00%2134.32%21%400be7129d17852057448276429e0e18%2112000058231391301%21sea%21HK%210%21ABX%211%210%21n_tag%3A-29910%3Bd%3A308f4a59%3Bm03_new_user%3A-29895&amp;curPageLogUid=tT6pZrpOarf9&amp;utparam-url=scene%3Asearch%7Cquery_from%3A%7Cx_object_id%3A1005012385046827%7C_p_origin_prod%3A&amp;search_p4p_id=2026072719290412764704275289600000334626_1" TargetMode="External"/><Relationship Id="rId5" Type="http://schemas.openxmlformats.org/officeDocument/2006/relationships/hyperlink" Target="https://makerspet.com/product/n20-encoder-motor-12v-200rpm/"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s>
  <sheetData>
    <row r="1">
      <c r="A1" s="1" t="s">
        <v>0</v>
      </c>
      <c r="B1" s="3"/>
      <c r="C1" s="3"/>
      <c r="D1" s="3"/>
    </row>
    <row r="2">
      <c r="A2" s="3"/>
      <c r="B2" s="3"/>
      <c r="C2" s="3"/>
      <c r="D2" s="3"/>
    </row>
    <row r="3">
      <c r="A3" s="1" t="s">
        <v>7</v>
      </c>
      <c r="B3" s="1" t="s">
        <v>9</v>
      </c>
      <c r="C3" s="1" t="s">
        <v>11</v>
      </c>
      <c r="D3" s="1" t="s">
        <v>12</v>
      </c>
    </row>
    <row r="4">
      <c r="A4" s="1" t="s">
        <v>14</v>
      </c>
      <c r="B4" s="8">
        <v>159.0</v>
      </c>
      <c r="C4" s="9">
        <v>46228.0</v>
      </c>
      <c r="D4" s="3"/>
    </row>
    <row r="5">
      <c r="A5" s="1" t="s">
        <v>21</v>
      </c>
      <c r="B5" s="8">
        <v>2600.0</v>
      </c>
      <c r="C5" s="9">
        <v>46231.0</v>
      </c>
      <c r="D5" s="3"/>
    </row>
    <row r="6">
      <c r="A6" s="1" t="s">
        <v>23</v>
      </c>
      <c r="B6" s="8">
        <v>1754.0</v>
      </c>
      <c r="C6" s="9">
        <v>46231.0</v>
      </c>
      <c r="D6"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0"/>
    <col customWidth="1" min="3" max="3" width="25.38"/>
    <col customWidth="1" min="4" max="4" width="52.38"/>
  </cols>
  <sheetData>
    <row r="3">
      <c r="B3" s="2" t="s">
        <v>1</v>
      </c>
    </row>
    <row r="4">
      <c r="B4" s="2" t="s">
        <v>3</v>
      </c>
    </row>
    <row r="11">
      <c r="C11" s="2" t="s">
        <v>4</v>
      </c>
      <c r="D11" s="2" t="s">
        <v>5</v>
      </c>
      <c r="E11" s="2" t="s">
        <v>6</v>
      </c>
    </row>
    <row r="12">
      <c r="B12" s="5" t="s">
        <v>8</v>
      </c>
      <c r="C12" s="2" t="s">
        <v>13</v>
      </c>
      <c r="D12" s="16" t="s">
        <v>16</v>
      </c>
      <c r="E12" s="2" t="s">
        <v>29</v>
      </c>
    </row>
    <row r="13">
      <c r="E13" s="2" t="s">
        <v>31</v>
      </c>
    </row>
    <row r="16">
      <c r="B16" s="5" t="s">
        <v>33</v>
      </c>
      <c r="C16" s="2" t="s">
        <v>34</v>
      </c>
      <c r="D16" s="17" t="s">
        <v>36</v>
      </c>
      <c r="E16" s="2" t="s">
        <v>44</v>
      </c>
    </row>
    <row r="17">
      <c r="C17" s="2" t="s">
        <v>46</v>
      </c>
      <c r="D17" s="17" t="s">
        <v>47</v>
      </c>
      <c r="E17" s="2" t="s">
        <v>51</v>
      </c>
    </row>
    <row r="18">
      <c r="C18" s="2" t="s">
        <v>52</v>
      </c>
    </row>
    <row r="20">
      <c r="B20" s="5" t="s">
        <v>53</v>
      </c>
      <c r="C20" s="2" t="s">
        <v>54</v>
      </c>
      <c r="D20" s="17" t="s">
        <v>55</v>
      </c>
    </row>
    <row r="21">
      <c r="C21" s="2" t="s">
        <v>65</v>
      </c>
    </row>
    <row r="24">
      <c r="B24" s="5" t="s">
        <v>66</v>
      </c>
      <c r="C24" s="2" t="s">
        <v>67</v>
      </c>
      <c r="D24" s="16" t="s">
        <v>68</v>
      </c>
      <c r="E24" s="2" t="s">
        <v>71</v>
      </c>
    </row>
    <row r="28">
      <c r="B28" s="5" t="s">
        <v>72</v>
      </c>
      <c r="D28" s="17" t="s">
        <v>73</v>
      </c>
      <c r="E28" s="2" t="s">
        <v>76</v>
      </c>
    </row>
    <row r="31">
      <c r="B31" s="2" t="s">
        <v>77</v>
      </c>
    </row>
    <row r="34">
      <c r="B34" s="2" t="s">
        <v>78</v>
      </c>
      <c r="D34" s="17" t="s">
        <v>79</v>
      </c>
    </row>
  </sheetData>
  <hyperlinks>
    <hyperlink r:id="rId1" ref="D12"/>
    <hyperlink r:id="rId2" ref="D16"/>
    <hyperlink r:id="rId3" ref="D17"/>
    <hyperlink r:id="rId4" ref="D20"/>
    <hyperlink r:id="rId5" ref="D24"/>
    <hyperlink r:id="rId6" ref="D28"/>
    <hyperlink r:id="rId7" ref="D34"/>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3.0"/>
    <col customWidth="1" min="3" max="3" width="16.88"/>
  </cols>
  <sheetData>
    <row r="2">
      <c r="B2" s="2" t="s">
        <v>17</v>
      </c>
    </row>
    <row r="4">
      <c r="B4" s="2" t="s">
        <v>18</v>
      </c>
    </row>
    <row r="5">
      <c r="C5" s="2" t="s">
        <v>19</v>
      </c>
    </row>
    <row r="8">
      <c r="A8" s="11"/>
      <c r="B8" s="13" t="s">
        <v>8</v>
      </c>
      <c r="C8" s="15" t="s">
        <v>26</v>
      </c>
      <c r="D8" s="11"/>
      <c r="E8" s="11"/>
      <c r="F8" s="11"/>
      <c r="G8" s="11"/>
      <c r="H8" s="11"/>
      <c r="I8" s="11"/>
      <c r="J8" s="11"/>
      <c r="K8" s="11"/>
      <c r="L8" s="11"/>
      <c r="M8" s="11"/>
      <c r="N8" s="11"/>
      <c r="O8" s="11"/>
      <c r="P8" s="11"/>
      <c r="Q8" s="11"/>
      <c r="R8" s="11"/>
      <c r="S8" s="11"/>
      <c r="T8" s="11"/>
      <c r="U8" s="11"/>
      <c r="V8" s="11"/>
      <c r="W8" s="11"/>
      <c r="X8" s="11"/>
      <c r="Y8" s="11"/>
      <c r="Z8" s="11"/>
    </row>
    <row r="9">
      <c r="A9" s="11"/>
      <c r="B9" s="11"/>
      <c r="C9" s="15" t="s">
        <v>42</v>
      </c>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9" t="s">
        <v>61</v>
      </c>
      <c r="D11" s="19" t="s">
        <v>62</v>
      </c>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5" t="s">
        <v>69</v>
      </c>
      <c r="D12" s="15" t="s">
        <v>70</v>
      </c>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5" t="s">
        <v>74</v>
      </c>
      <c r="D13" s="15" t="s">
        <v>75</v>
      </c>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5" t="s">
        <v>80</v>
      </c>
      <c r="D14" s="15" t="s">
        <v>81</v>
      </c>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5" t="s">
        <v>82</v>
      </c>
      <c r="D15" s="15" t="s">
        <v>83</v>
      </c>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5" t="s">
        <v>84</v>
      </c>
      <c r="D16" s="15" t="s">
        <v>85</v>
      </c>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5" t="s">
        <v>86</v>
      </c>
      <c r="D17" s="15" t="s">
        <v>87</v>
      </c>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5" t="s">
        <v>88</v>
      </c>
      <c r="D18" s="15" t="s">
        <v>89</v>
      </c>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5" t="s">
        <v>90</v>
      </c>
      <c r="D19" s="15" t="s">
        <v>91</v>
      </c>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2">
      <c r="A22" s="23"/>
      <c r="B22" s="24" t="s">
        <v>33</v>
      </c>
      <c r="C22" s="24" t="s">
        <v>61</v>
      </c>
      <c r="D22" s="24" t="s">
        <v>62</v>
      </c>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8" t="s">
        <v>69</v>
      </c>
      <c r="D23" s="28" t="s">
        <v>95</v>
      </c>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8" t="s">
        <v>97</v>
      </c>
      <c r="D24" s="28" t="s">
        <v>98</v>
      </c>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8" t="s">
        <v>105</v>
      </c>
      <c r="D25" s="28" t="s">
        <v>106</v>
      </c>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8" t="s">
        <v>84</v>
      </c>
      <c r="D26" s="28" t="s">
        <v>111</v>
      </c>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8" t="s">
        <v>114</v>
      </c>
      <c r="D27" s="28" t="s">
        <v>115</v>
      </c>
      <c r="E27" s="23"/>
      <c r="F27" s="23"/>
      <c r="G27" s="23"/>
      <c r="H27" s="23"/>
      <c r="I27" s="23"/>
      <c r="J27" s="23"/>
      <c r="K27" s="23"/>
      <c r="L27" s="23"/>
      <c r="M27" s="23"/>
      <c r="N27" s="23"/>
      <c r="O27" s="23"/>
      <c r="P27" s="23"/>
      <c r="Q27" s="23"/>
      <c r="R27" s="23"/>
      <c r="S27" s="23"/>
      <c r="T27" s="23"/>
      <c r="U27" s="23"/>
      <c r="V27" s="23"/>
      <c r="W27" s="23"/>
      <c r="X27" s="23"/>
      <c r="Y27" s="23"/>
      <c r="Z27" s="23"/>
    </row>
    <row r="31">
      <c r="A31" s="49"/>
      <c r="B31" s="50" t="s">
        <v>53</v>
      </c>
      <c r="C31" s="51" t="s">
        <v>61</v>
      </c>
      <c r="D31" s="51" t="s">
        <v>62</v>
      </c>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51" t="s">
        <v>105</v>
      </c>
      <c r="D32" s="51" t="s">
        <v>132</v>
      </c>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51" t="s">
        <v>147</v>
      </c>
      <c r="D33" s="51" t="s">
        <v>150</v>
      </c>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51" t="s">
        <v>160</v>
      </c>
      <c r="D34" s="51" t="s">
        <v>162</v>
      </c>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51" t="s">
        <v>166</v>
      </c>
      <c r="D35" s="51" t="s">
        <v>167</v>
      </c>
      <c r="E35" s="49"/>
      <c r="F35" s="49"/>
      <c r="G35" s="49"/>
      <c r="H35" s="49"/>
      <c r="I35" s="49"/>
      <c r="J35" s="49"/>
      <c r="K35" s="49"/>
      <c r="L35" s="49"/>
      <c r="M35" s="49"/>
      <c r="N35" s="49"/>
      <c r="O35" s="49"/>
      <c r="P35" s="49"/>
      <c r="Q35" s="49"/>
      <c r="R35" s="49"/>
      <c r="S35" s="49"/>
      <c r="T35" s="49"/>
      <c r="U35" s="49"/>
      <c r="V35" s="49"/>
      <c r="W35" s="49"/>
      <c r="X35" s="49"/>
      <c r="Y35" s="49"/>
      <c r="Z35" s="49"/>
    </row>
    <row r="38">
      <c r="A38" s="64"/>
      <c r="B38" s="65" t="s">
        <v>66</v>
      </c>
      <c r="C38" s="66" t="s">
        <v>61</v>
      </c>
      <c r="D38" s="66" t="s">
        <v>62</v>
      </c>
      <c r="E38" s="64"/>
      <c r="F38" s="64"/>
      <c r="G38" s="64"/>
      <c r="H38" s="64"/>
      <c r="I38" s="64"/>
      <c r="J38" s="64"/>
      <c r="K38" s="64"/>
      <c r="L38" s="64"/>
      <c r="M38" s="64"/>
      <c r="N38" s="64"/>
      <c r="O38" s="64"/>
      <c r="P38" s="64"/>
      <c r="Q38" s="64"/>
      <c r="R38" s="64"/>
      <c r="S38" s="64"/>
      <c r="T38" s="64"/>
      <c r="U38" s="64"/>
      <c r="V38" s="64"/>
      <c r="W38" s="64"/>
      <c r="X38" s="64"/>
      <c r="Y38" s="64"/>
      <c r="Z38" s="64"/>
    </row>
    <row r="39">
      <c r="A39" s="64"/>
      <c r="B39" s="64"/>
      <c r="C39" s="66" t="s">
        <v>69</v>
      </c>
      <c r="D39" s="66" t="s">
        <v>170</v>
      </c>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6" t="s">
        <v>105</v>
      </c>
      <c r="D40" s="66" t="s">
        <v>173</v>
      </c>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6" t="s">
        <v>84</v>
      </c>
      <c r="D41" s="66" t="s">
        <v>177</v>
      </c>
      <c r="E41" s="64"/>
      <c r="F41" s="64"/>
      <c r="G41" s="64"/>
      <c r="H41" s="64"/>
      <c r="I41" s="64"/>
      <c r="J41" s="64"/>
      <c r="K41" s="64"/>
      <c r="L41" s="64"/>
      <c r="M41" s="64"/>
      <c r="N41" s="64"/>
      <c r="O41" s="64"/>
      <c r="P41" s="64"/>
      <c r="Q41" s="64"/>
      <c r="R41" s="64"/>
      <c r="S41" s="64"/>
      <c r="T41" s="64"/>
      <c r="U41" s="64"/>
      <c r="V41" s="64"/>
      <c r="W41" s="64"/>
      <c r="X41" s="64"/>
      <c r="Y41" s="64"/>
      <c r="Z41" s="64"/>
    </row>
    <row r="42">
      <c r="A42" s="64"/>
      <c r="B42" s="64"/>
      <c r="C42" s="66" t="s">
        <v>179</v>
      </c>
      <c r="D42" s="66" t="s">
        <v>180</v>
      </c>
      <c r="E42" s="64"/>
      <c r="F42" s="64"/>
      <c r="G42" s="64"/>
      <c r="H42" s="64"/>
      <c r="I42" s="64"/>
      <c r="J42" s="64"/>
      <c r="K42" s="64"/>
      <c r="L42" s="64"/>
      <c r="M42" s="64"/>
      <c r="N42" s="64"/>
      <c r="O42" s="64"/>
      <c r="P42" s="64"/>
      <c r="Q42" s="64"/>
      <c r="R42" s="64"/>
      <c r="S42" s="64"/>
      <c r="T42" s="64"/>
      <c r="U42" s="64"/>
      <c r="V42" s="64"/>
      <c r="W42" s="64"/>
      <c r="X42" s="64"/>
      <c r="Y42" s="64"/>
      <c r="Z42" s="64"/>
    </row>
    <row r="45">
      <c r="A45" s="68"/>
      <c r="B45" s="69" t="s">
        <v>72</v>
      </c>
      <c r="C45" s="70" t="s">
        <v>61</v>
      </c>
      <c r="D45" s="70" t="s">
        <v>62</v>
      </c>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70" t="s">
        <v>185</v>
      </c>
      <c r="D46" s="70" t="s">
        <v>186</v>
      </c>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70" t="s">
        <v>187</v>
      </c>
      <c r="D47" s="70" t="s">
        <v>188</v>
      </c>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70" t="s">
        <v>160</v>
      </c>
      <c r="D48" s="70" t="s">
        <v>189</v>
      </c>
      <c r="E48" s="68"/>
      <c r="F48" s="68"/>
      <c r="G48" s="68"/>
      <c r="H48" s="68"/>
      <c r="I48" s="68"/>
      <c r="J48" s="68"/>
      <c r="K48" s="68"/>
      <c r="L48" s="68"/>
      <c r="M48" s="68"/>
      <c r="N48" s="68"/>
      <c r="O48" s="68"/>
      <c r="P48" s="68"/>
      <c r="Q48" s="68"/>
      <c r="R48" s="68"/>
      <c r="S48" s="68"/>
      <c r="T48" s="68"/>
      <c r="U48" s="68"/>
      <c r="V48" s="68"/>
      <c r="W48" s="68"/>
      <c r="X48" s="68"/>
      <c r="Y48" s="68"/>
      <c r="Z48" s="68"/>
    </row>
    <row r="51">
      <c r="B51" s="2" t="s">
        <v>193</v>
      </c>
      <c r="C51" s="2" t="s">
        <v>195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6.13"/>
    <col customWidth="1" min="3" max="3" width="49.88"/>
    <col customWidth="1" min="4" max="4" width="34.0"/>
  </cols>
  <sheetData>
    <row r="4" ht="27.75" customHeight="1">
      <c r="B4" s="4" t="s">
        <v>2</v>
      </c>
      <c r="C4" s="6" t="s">
        <v>10</v>
      </c>
      <c r="D4" s="7" t="s">
        <v>15</v>
      </c>
    </row>
    <row r="5" ht="26.25" customHeight="1">
      <c r="B5" s="10" t="s">
        <v>20</v>
      </c>
      <c r="C5" s="12" t="s">
        <v>22</v>
      </c>
      <c r="D5" s="14" t="s">
        <v>24</v>
      </c>
    </row>
    <row r="6" ht="30.0" customHeight="1">
      <c r="B6" s="10" t="s">
        <v>25</v>
      </c>
      <c r="C6" s="12" t="s">
        <v>27</v>
      </c>
      <c r="D6" s="14" t="s">
        <v>28</v>
      </c>
    </row>
    <row r="7">
      <c r="B7" s="10" t="s">
        <v>30</v>
      </c>
      <c r="C7" s="12" t="s">
        <v>32</v>
      </c>
      <c r="D7" s="14" t="s">
        <v>35</v>
      </c>
    </row>
    <row r="8">
      <c r="B8" s="10" t="s">
        <v>37</v>
      </c>
      <c r="C8" s="12" t="s">
        <v>38</v>
      </c>
      <c r="D8" s="14" t="s">
        <v>39</v>
      </c>
    </row>
    <row r="9">
      <c r="B9" s="10" t="s">
        <v>40</v>
      </c>
      <c r="C9" s="12" t="s">
        <v>41</v>
      </c>
      <c r="D9" s="14" t="s">
        <v>43</v>
      </c>
    </row>
    <row r="10">
      <c r="B10" s="10" t="s">
        <v>45</v>
      </c>
      <c r="C10" s="12" t="s">
        <v>48</v>
      </c>
      <c r="D10" s="18" t="s">
        <v>49</v>
      </c>
    </row>
    <row r="13">
      <c r="C13" s="2" t="s">
        <v>50</v>
      </c>
    </row>
    <row r="21">
      <c r="C21" s="2" t="s">
        <v>56</v>
      </c>
    </row>
    <row r="22">
      <c r="C22" s="2" t="s">
        <v>57</v>
      </c>
    </row>
    <row r="24">
      <c r="B24" s="11"/>
      <c r="C24" s="2" t="s">
        <v>58</v>
      </c>
      <c r="D24" s="2" t="s">
        <v>59</v>
      </c>
    </row>
    <row r="25">
      <c r="C25" s="2" t="s">
        <v>60</v>
      </c>
    </row>
    <row r="27">
      <c r="C27" s="2" t="s">
        <v>63</v>
      </c>
    </row>
    <row r="29">
      <c r="C29" s="2" t="s">
        <v>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5.38"/>
    <col customWidth="1" min="2" max="2" width="36.63"/>
    <col customWidth="1" min="3" max="3" width="37.38"/>
    <col customWidth="1" min="4" max="4" width="49.63"/>
    <col customWidth="1" min="5" max="8" width="16.5"/>
  </cols>
  <sheetData>
    <row r="1" ht="15.75" customHeight="1">
      <c r="A1" s="20" t="s">
        <v>92</v>
      </c>
      <c r="I1" s="21"/>
      <c r="J1" s="21"/>
      <c r="K1" s="21"/>
      <c r="L1" s="21"/>
      <c r="M1" s="21"/>
      <c r="N1" s="21"/>
      <c r="O1" s="21"/>
      <c r="P1" s="21"/>
      <c r="Q1" s="21"/>
      <c r="R1" s="21"/>
      <c r="S1" s="21"/>
      <c r="T1" s="21"/>
      <c r="U1" s="21"/>
      <c r="V1" s="21"/>
      <c r="W1" s="21"/>
      <c r="X1" s="21"/>
      <c r="Y1" s="21"/>
      <c r="Z1" s="21"/>
    </row>
    <row r="2" ht="15.75" customHeight="1">
      <c r="A2" s="22" t="s">
        <v>93</v>
      </c>
      <c r="I2" s="21"/>
      <c r="J2" s="21"/>
      <c r="K2" s="21"/>
      <c r="L2" s="21"/>
      <c r="M2" s="21"/>
      <c r="N2" s="21"/>
      <c r="O2" s="21"/>
      <c r="P2" s="21"/>
      <c r="Q2" s="21"/>
      <c r="R2" s="21"/>
      <c r="S2" s="21"/>
      <c r="T2" s="21"/>
      <c r="U2" s="21"/>
      <c r="V2" s="21"/>
      <c r="W2" s="21"/>
      <c r="X2" s="21"/>
      <c r="Y2" s="21"/>
      <c r="Z2" s="21"/>
    </row>
    <row r="3" ht="15.75" customHeight="1">
      <c r="A3" s="25"/>
      <c r="B3" s="25"/>
      <c r="C3" s="25"/>
      <c r="D3" s="25"/>
      <c r="E3" s="26"/>
      <c r="F3" s="26"/>
      <c r="G3" s="26"/>
      <c r="H3" s="26"/>
      <c r="I3" s="21"/>
      <c r="J3" s="21"/>
      <c r="K3" s="21"/>
      <c r="L3" s="21"/>
      <c r="M3" s="21"/>
      <c r="N3" s="21"/>
      <c r="O3" s="21"/>
      <c r="P3" s="21"/>
      <c r="Q3" s="21"/>
      <c r="R3" s="21"/>
      <c r="S3" s="21"/>
      <c r="T3" s="21"/>
      <c r="U3" s="21"/>
      <c r="V3" s="21"/>
      <c r="W3" s="21"/>
      <c r="X3" s="21"/>
      <c r="Y3" s="21"/>
      <c r="Z3" s="21"/>
    </row>
    <row r="4" ht="15.75" customHeight="1">
      <c r="A4" s="34"/>
      <c r="B4" s="34" t="s">
        <v>99</v>
      </c>
      <c r="C4" s="34" t="s">
        <v>100</v>
      </c>
      <c r="D4" s="34" t="s">
        <v>101</v>
      </c>
      <c r="E4" s="34" t="s">
        <v>103</v>
      </c>
      <c r="F4" s="39" t="s">
        <v>104</v>
      </c>
      <c r="G4" s="39" t="s">
        <v>107</v>
      </c>
      <c r="H4" s="34" t="s">
        <v>108</v>
      </c>
      <c r="I4" s="41" t="s">
        <v>5</v>
      </c>
      <c r="J4" s="41" t="s">
        <v>110</v>
      </c>
      <c r="K4" s="21"/>
      <c r="L4" s="21"/>
      <c r="M4" s="21"/>
      <c r="N4" s="21"/>
      <c r="O4" s="21"/>
      <c r="P4" s="21"/>
      <c r="Q4" s="21"/>
      <c r="R4" s="21"/>
      <c r="S4" s="21"/>
      <c r="T4" s="21"/>
      <c r="U4" s="21"/>
      <c r="V4" s="21"/>
      <c r="W4" s="21"/>
      <c r="X4" s="21"/>
      <c r="Y4" s="21"/>
      <c r="Z4" s="21"/>
    </row>
    <row r="5" ht="15.75" customHeight="1">
      <c r="A5" s="44"/>
      <c r="B5" s="44"/>
      <c r="C5" s="44"/>
      <c r="D5" s="44"/>
      <c r="E5" s="48"/>
      <c r="F5" s="48"/>
      <c r="G5" s="48"/>
      <c r="H5" s="48"/>
      <c r="I5" s="21"/>
      <c r="J5" s="21"/>
      <c r="K5" s="21"/>
      <c r="L5" s="21"/>
      <c r="M5" s="21"/>
      <c r="N5" s="21"/>
      <c r="O5" s="21"/>
      <c r="P5" s="21"/>
      <c r="Q5" s="21"/>
      <c r="R5" s="21"/>
      <c r="S5" s="21"/>
      <c r="T5" s="21"/>
      <c r="U5" s="21"/>
      <c r="V5" s="21"/>
      <c r="W5" s="21"/>
      <c r="X5" s="21"/>
      <c r="Y5" s="21"/>
      <c r="Z5" s="21"/>
    </row>
    <row r="6" ht="15.75" customHeight="1">
      <c r="A6" s="52" t="s">
        <v>135</v>
      </c>
      <c r="B6" s="53" t="s">
        <v>141</v>
      </c>
      <c r="C6" s="53" t="s">
        <v>144</v>
      </c>
      <c r="D6" s="53" t="s">
        <v>148</v>
      </c>
      <c r="E6" s="54">
        <v>1.0</v>
      </c>
      <c r="F6" s="55">
        <v>2000.0</v>
      </c>
      <c r="G6" s="54">
        <f t="shared" ref="G6:G11" si="1">F6*E6</f>
        <v>2000</v>
      </c>
      <c r="H6" s="60"/>
      <c r="I6" s="41" t="s">
        <v>168</v>
      </c>
      <c r="J6" s="41">
        <v>2600.0</v>
      </c>
      <c r="K6" s="21"/>
      <c r="L6" s="21"/>
      <c r="M6" s="21"/>
      <c r="N6" s="21"/>
      <c r="O6" s="21"/>
      <c r="P6" s="21"/>
      <c r="Q6" s="21"/>
      <c r="R6" s="21"/>
      <c r="S6" s="21"/>
      <c r="T6" s="21"/>
      <c r="U6" s="21"/>
      <c r="V6" s="21"/>
      <c r="W6" s="21"/>
      <c r="X6" s="21"/>
      <c r="Y6" s="21"/>
      <c r="Z6" s="21"/>
    </row>
    <row r="7" ht="15.75" customHeight="1">
      <c r="A7" s="52"/>
      <c r="B7" s="52" t="s">
        <v>169</v>
      </c>
      <c r="C7" s="52" t="s">
        <v>171</v>
      </c>
      <c r="D7" s="52" t="s">
        <v>172</v>
      </c>
      <c r="E7" s="54">
        <v>1.0</v>
      </c>
      <c r="F7" s="55">
        <v>160.0</v>
      </c>
      <c r="G7" s="54">
        <f t="shared" si="1"/>
        <v>160</v>
      </c>
      <c r="H7" s="60" t="s">
        <v>175</v>
      </c>
      <c r="I7" s="41" t="s">
        <v>176</v>
      </c>
      <c r="J7" s="41">
        <v>159.0</v>
      </c>
      <c r="K7" s="21"/>
      <c r="L7" s="21"/>
      <c r="M7" s="21"/>
      <c r="N7" s="21"/>
      <c r="O7" s="21"/>
      <c r="P7" s="21"/>
      <c r="Q7" s="21"/>
      <c r="R7" s="21"/>
      <c r="S7" s="21"/>
      <c r="T7" s="21"/>
      <c r="U7" s="21"/>
      <c r="V7" s="21"/>
      <c r="W7" s="21"/>
      <c r="X7" s="21"/>
      <c r="Y7" s="21"/>
      <c r="Z7" s="21"/>
    </row>
    <row r="8" ht="30.75" customHeight="1">
      <c r="A8" s="52"/>
      <c r="B8" s="52" t="s">
        <v>178</v>
      </c>
      <c r="C8" s="67" t="s">
        <v>181</v>
      </c>
      <c r="D8" s="52" t="s">
        <v>182</v>
      </c>
      <c r="E8" s="60">
        <v>2.0</v>
      </c>
      <c r="F8" s="55">
        <v>120.0</v>
      </c>
      <c r="G8" s="54">
        <f t="shared" si="1"/>
        <v>240</v>
      </c>
      <c r="H8" s="54"/>
      <c r="I8" s="72" t="s">
        <v>183</v>
      </c>
      <c r="J8" s="21"/>
      <c r="K8" s="21"/>
      <c r="L8" s="21"/>
      <c r="M8" s="21"/>
      <c r="N8" s="21"/>
      <c r="O8" s="21"/>
      <c r="P8" s="21"/>
      <c r="Q8" s="21"/>
      <c r="R8" s="21"/>
      <c r="S8" s="21"/>
      <c r="T8" s="21"/>
      <c r="U8" s="21"/>
      <c r="V8" s="21"/>
      <c r="W8" s="21"/>
      <c r="X8" s="21"/>
      <c r="Y8" s="21"/>
      <c r="Z8" s="21"/>
    </row>
    <row r="9" ht="15.75" customHeight="1">
      <c r="A9" s="52"/>
      <c r="B9" s="53" t="s">
        <v>191</v>
      </c>
      <c r="C9" s="53" t="s">
        <v>192</v>
      </c>
      <c r="D9" s="52" t="s">
        <v>194</v>
      </c>
      <c r="E9" s="54">
        <v>2.0</v>
      </c>
      <c r="F9" s="55">
        <v>25.0</v>
      </c>
      <c r="G9" s="54">
        <f t="shared" si="1"/>
        <v>50</v>
      </c>
      <c r="H9" s="54"/>
      <c r="I9" s="41" t="s">
        <v>196</v>
      </c>
      <c r="J9" s="21"/>
      <c r="K9" s="21"/>
      <c r="L9" s="21"/>
      <c r="M9" s="21"/>
      <c r="N9" s="21"/>
      <c r="O9" s="21"/>
      <c r="P9" s="21"/>
      <c r="Q9" s="21"/>
      <c r="R9" s="21"/>
      <c r="S9" s="21"/>
      <c r="T9" s="21"/>
      <c r="U9" s="21"/>
      <c r="V9" s="21"/>
      <c r="W9" s="21"/>
      <c r="X9" s="21"/>
      <c r="Y9" s="21"/>
      <c r="Z9" s="21"/>
    </row>
    <row r="10" ht="15.75" customHeight="1">
      <c r="A10" s="52"/>
      <c r="B10" s="52" t="s">
        <v>197</v>
      </c>
      <c r="C10" s="52" t="s">
        <v>198</v>
      </c>
      <c r="D10" s="52" t="s">
        <v>199</v>
      </c>
      <c r="E10" s="54">
        <v>1.0</v>
      </c>
      <c r="F10" s="55">
        <v>20.0</v>
      </c>
      <c r="G10" s="54">
        <f t="shared" si="1"/>
        <v>20</v>
      </c>
      <c r="H10" s="54"/>
      <c r="I10" s="73" t="s">
        <v>201</v>
      </c>
      <c r="J10" s="21"/>
      <c r="K10" s="21"/>
      <c r="L10" s="21"/>
      <c r="M10" s="21"/>
      <c r="N10" s="21"/>
      <c r="O10" s="21"/>
      <c r="P10" s="21"/>
      <c r="Q10" s="21"/>
      <c r="R10" s="21"/>
      <c r="S10" s="21"/>
      <c r="T10" s="21"/>
      <c r="U10" s="21"/>
      <c r="V10" s="21"/>
      <c r="W10" s="21"/>
      <c r="X10" s="21"/>
      <c r="Y10" s="21"/>
      <c r="Z10" s="21"/>
    </row>
    <row r="11" ht="15.75" customHeight="1">
      <c r="A11" s="52"/>
      <c r="B11" s="52" t="s">
        <v>202</v>
      </c>
      <c r="C11" s="52" t="s">
        <v>203</v>
      </c>
      <c r="D11" s="52" t="s">
        <v>204</v>
      </c>
      <c r="E11" s="54">
        <v>1.0</v>
      </c>
      <c r="F11" s="55">
        <v>1600.0</v>
      </c>
      <c r="G11" s="54">
        <f t="shared" si="1"/>
        <v>1600</v>
      </c>
      <c r="H11" s="54"/>
      <c r="I11" s="41" t="s">
        <v>205</v>
      </c>
      <c r="J11" s="21"/>
      <c r="K11" s="21"/>
      <c r="L11" s="21"/>
      <c r="M11" s="21"/>
      <c r="N11" s="21"/>
      <c r="O11" s="21"/>
      <c r="P11" s="21"/>
      <c r="Q11" s="21"/>
      <c r="R11" s="21"/>
      <c r="S11" s="21"/>
      <c r="T11" s="21"/>
      <c r="U11" s="21"/>
      <c r="V11" s="21"/>
      <c r="W11" s="21"/>
      <c r="X11" s="21"/>
      <c r="Y11" s="21"/>
      <c r="Z11" s="21"/>
    </row>
    <row r="12" ht="15.75" customHeight="1">
      <c r="A12" s="44"/>
      <c r="B12" s="44"/>
      <c r="C12" s="44"/>
      <c r="D12" s="44"/>
      <c r="E12" s="48"/>
      <c r="F12" s="48"/>
      <c r="G12" s="48"/>
      <c r="H12" s="48"/>
      <c r="I12" s="21"/>
      <c r="J12" s="21"/>
      <c r="K12" s="21"/>
      <c r="L12" s="21"/>
      <c r="M12" s="21"/>
      <c r="N12" s="21"/>
      <c r="O12" s="21"/>
      <c r="P12" s="21"/>
      <c r="Q12" s="21"/>
      <c r="R12" s="21"/>
      <c r="S12" s="21"/>
      <c r="T12" s="21"/>
      <c r="U12" s="21"/>
      <c r="V12" s="21"/>
      <c r="W12" s="21"/>
      <c r="X12" s="21"/>
      <c r="Y12" s="21"/>
      <c r="Z12" s="21"/>
    </row>
    <row r="13" ht="15.75" customHeight="1">
      <c r="A13" s="44"/>
      <c r="B13" s="44"/>
      <c r="C13" s="44"/>
      <c r="D13" s="44"/>
      <c r="E13" s="48"/>
      <c r="F13" s="48"/>
      <c r="G13" s="48"/>
      <c r="H13" s="48"/>
      <c r="I13" s="21"/>
      <c r="J13" s="21"/>
      <c r="K13" s="21"/>
      <c r="L13" s="21"/>
      <c r="M13" s="21"/>
      <c r="N13" s="21"/>
      <c r="O13" s="21"/>
      <c r="P13" s="21"/>
      <c r="Q13" s="21"/>
      <c r="R13" s="21"/>
      <c r="S13" s="21"/>
      <c r="T13" s="21"/>
      <c r="U13" s="21"/>
      <c r="V13" s="21"/>
      <c r="W13" s="21"/>
      <c r="X13" s="21"/>
      <c r="Y13" s="21"/>
      <c r="Z13" s="21"/>
    </row>
    <row r="14" ht="15.75" customHeight="1">
      <c r="A14" s="74" t="s">
        <v>208</v>
      </c>
      <c r="B14" s="74" t="s">
        <v>209</v>
      </c>
      <c r="C14" s="74" t="s">
        <v>210</v>
      </c>
      <c r="D14" s="74" t="s">
        <v>211</v>
      </c>
      <c r="E14" s="75">
        <v>1.0</v>
      </c>
      <c r="F14" s="76">
        <v>4000.0</v>
      </c>
      <c r="G14" s="75">
        <f>F14*E14</f>
        <v>4000</v>
      </c>
      <c r="H14" s="75"/>
      <c r="I14" s="72" t="s">
        <v>212</v>
      </c>
      <c r="J14" s="21"/>
      <c r="K14" s="21"/>
      <c r="L14" s="21"/>
      <c r="M14" s="21"/>
      <c r="N14" s="21"/>
      <c r="O14" s="21"/>
      <c r="P14" s="21"/>
      <c r="Q14" s="21"/>
      <c r="R14" s="21"/>
      <c r="S14" s="21"/>
      <c r="T14" s="21"/>
      <c r="U14" s="21"/>
      <c r="V14" s="21"/>
      <c r="W14" s="21"/>
      <c r="X14" s="21"/>
      <c r="Y14" s="21"/>
      <c r="Z14" s="21"/>
    </row>
    <row r="15" ht="15.75" customHeight="1">
      <c r="A15" s="74"/>
      <c r="B15" s="74" t="s">
        <v>219</v>
      </c>
      <c r="C15" s="74" t="s">
        <v>220</v>
      </c>
      <c r="D15" s="74" t="s">
        <v>221</v>
      </c>
      <c r="E15" s="75">
        <v>1.0</v>
      </c>
      <c r="F15" s="76">
        <v>700.0</v>
      </c>
      <c r="G15" s="76">
        <v>700.0</v>
      </c>
      <c r="H15" s="75"/>
      <c r="I15" s="21"/>
      <c r="J15" s="21"/>
      <c r="K15" s="21"/>
      <c r="L15" s="21"/>
      <c r="M15" s="21"/>
      <c r="N15" s="21"/>
      <c r="O15" s="21"/>
      <c r="P15" s="21"/>
      <c r="Q15" s="21"/>
      <c r="R15" s="21"/>
      <c r="S15" s="21"/>
      <c r="T15" s="21"/>
      <c r="U15" s="21"/>
      <c r="V15" s="21"/>
      <c r="W15" s="21"/>
      <c r="X15" s="21"/>
      <c r="Y15" s="21"/>
      <c r="Z15" s="21"/>
    </row>
    <row r="16" ht="15.75" customHeight="1">
      <c r="A16" s="74"/>
      <c r="B16" s="74" t="s">
        <v>223</v>
      </c>
      <c r="C16" s="74" t="s">
        <v>224</v>
      </c>
      <c r="D16" s="74" t="s">
        <v>225</v>
      </c>
      <c r="E16" s="75">
        <v>1.0</v>
      </c>
      <c r="F16" s="76">
        <v>40.0</v>
      </c>
      <c r="G16" s="76">
        <v>40.0</v>
      </c>
      <c r="H16" s="75"/>
      <c r="I16" s="21"/>
      <c r="J16" s="21"/>
      <c r="K16" s="21"/>
      <c r="L16" s="21"/>
      <c r="M16" s="21"/>
      <c r="N16" s="21"/>
      <c r="O16" s="21"/>
      <c r="P16" s="21"/>
      <c r="Q16" s="21"/>
      <c r="R16" s="21"/>
      <c r="S16" s="21"/>
      <c r="T16" s="21"/>
      <c r="U16" s="21"/>
      <c r="V16" s="21"/>
      <c r="W16" s="21"/>
      <c r="X16" s="21"/>
      <c r="Y16" s="21"/>
      <c r="Z16" s="21"/>
    </row>
    <row r="17" ht="15.75" customHeight="1">
      <c r="A17" s="74"/>
      <c r="B17" s="74" t="s">
        <v>223</v>
      </c>
      <c r="C17" s="74" t="s">
        <v>226</v>
      </c>
      <c r="D17" s="74" t="s">
        <v>227</v>
      </c>
      <c r="E17" s="75">
        <v>1.0</v>
      </c>
      <c r="F17" s="76">
        <v>200.0</v>
      </c>
      <c r="G17" s="76">
        <v>200.0</v>
      </c>
      <c r="H17" s="75"/>
      <c r="I17" s="21"/>
      <c r="J17" s="21"/>
      <c r="K17" s="21"/>
      <c r="L17" s="21"/>
      <c r="M17" s="21"/>
      <c r="N17" s="21"/>
      <c r="O17" s="21"/>
      <c r="P17" s="21"/>
      <c r="Q17" s="21"/>
      <c r="R17" s="21"/>
      <c r="S17" s="21"/>
      <c r="T17" s="21"/>
      <c r="U17" s="21"/>
      <c r="V17" s="21"/>
      <c r="W17" s="21"/>
      <c r="X17" s="21"/>
      <c r="Y17" s="21"/>
      <c r="Z17" s="21"/>
    </row>
    <row r="18" ht="15.75" customHeight="1">
      <c r="A18" s="74"/>
      <c r="B18" s="74" t="s">
        <v>229</v>
      </c>
      <c r="C18" s="74" t="s">
        <v>230</v>
      </c>
      <c r="D18" s="74" t="s">
        <v>231</v>
      </c>
      <c r="E18" s="75">
        <v>1.0</v>
      </c>
      <c r="F18" s="76">
        <v>100.0</v>
      </c>
      <c r="G18" s="76">
        <v>100.0</v>
      </c>
      <c r="H18" s="75"/>
      <c r="I18" s="21"/>
      <c r="J18" s="21"/>
      <c r="K18" s="21"/>
      <c r="L18" s="21"/>
      <c r="M18" s="21"/>
      <c r="N18" s="21"/>
      <c r="O18" s="21"/>
      <c r="P18" s="21"/>
      <c r="Q18" s="21"/>
      <c r="R18" s="21"/>
      <c r="S18" s="21"/>
      <c r="T18" s="21"/>
      <c r="U18" s="21"/>
      <c r="V18" s="21"/>
      <c r="W18" s="21"/>
      <c r="X18" s="21"/>
      <c r="Y18" s="21"/>
      <c r="Z18" s="21"/>
    </row>
    <row r="19" ht="15.75" customHeight="1">
      <c r="A19" s="74"/>
      <c r="B19" s="83" t="s">
        <v>232</v>
      </c>
      <c r="C19" s="74" t="s">
        <v>233</v>
      </c>
      <c r="D19" s="74" t="s">
        <v>234</v>
      </c>
      <c r="E19" s="75">
        <v>1.0</v>
      </c>
      <c r="F19" s="76">
        <v>100.0</v>
      </c>
      <c r="G19" s="76">
        <v>100.0</v>
      </c>
      <c r="H19" s="75"/>
      <c r="I19" s="21"/>
      <c r="J19" s="21"/>
      <c r="K19" s="21"/>
      <c r="L19" s="21"/>
      <c r="M19" s="21"/>
      <c r="N19" s="21"/>
      <c r="O19" s="21"/>
      <c r="P19" s="21"/>
      <c r="Q19" s="21"/>
      <c r="R19" s="21"/>
      <c r="S19" s="21"/>
      <c r="T19" s="21"/>
      <c r="U19" s="21"/>
      <c r="V19" s="21"/>
      <c r="W19" s="21"/>
      <c r="X19" s="21"/>
      <c r="Y19" s="21"/>
      <c r="Z19" s="21"/>
    </row>
    <row r="20" ht="15.75" customHeight="1">
      <c r="A20" s="44"/>
      <c r="B20" s="44"/>
      <c r="C20" s="44"/>
      <c r="D20" s="44"/>
      <c r="E20" s="48"/>
      <c r="F20" s="48"/>
      <c r="G20" s="48"/>
      <c r="H20" s="48"/>
      <c r="I20" s="21"/>
      <c r="J20" s="21"/>
      <c r="K20" s="21"/>
      <c r="L20" s="21"/>
      <c r="M20" s="21"/>
      <c r="N20" s="21"/>
      <c r="O20" s="21"/>
      <c r="P20" s="21"/>
      <c r="Q20" s="21"/>
      <c r="R20" s="21"/>
      <c r="S20" s="21"/>
      <c r="T20" s="21"/>
      <c r="U20" s="21"/>
      <c r="V20" s="21"/>
      <c r="W20" s="21"/>
      <c r="X20" s="21"/>
      <c r="Y20" s="21"/>
      <c r="Z20" s="21"/>
    </row>
    <row r="21" ht="15.75" customHeight="1">
      <c r="A21" s="84" t="s">
        <v>236</v>
      </c>
      <c r="B21" s="84" t="s">
        <v>238</v>
      </c>
      <c r="C21" s="84" t="s">
        <v>239</v>
      </c>
      <c r="D21" s="84" t="s">
        <v>240</v>
      </c>
      <c r="E21" s="86">
        <v>1.0</v>
      </c>
      <c r="F21" s="86"/>
      <c r="G21" s="86"/>
      <c r="H21" s="86"/>
      <c r="I21" s="21"/>
      <c r="J21" s="21"/>
      <c r="K21" s="21"/>
      <c r="L21" s="21"/>
      <c r="M21" s="21"/>
      <c r="N21" s="21"/>
      <c r="O21" s="21"/>
      <c r="P21" s="21"/>
      <c r="Q21" s="21"/>
      <c r="R21" s="21"/>
      <c r="S21" s="21"/>
      <c r="T21" s="21"/>
      <c r="U21" s="21"/>
      <c r="V21" s="21"/>
      <c r="W21" s="21"/>
      <c r="X21" s="21"/>
      <c r="Y21" s="21"/>
      <c r="Z21" s="21"/>
    </row>
    <row r="22" ht="15.75" customHeight="1">
      <c r="A22" s="84"/>
      <c r="B22" s="84" t="s">
        <v>241</v>
      </c>
      <c r="C22" s="84" t="s">
        <v>239</v>
      </c>
      <c r="D22" s="84" t="s">
        <v>242</v>
      </c>
      <c r="E22" s="86">
        <v>1.0</v>
      </c>
      <c r="F22" s="86"/>
      <c r="G22" s="86"/>
      <c r="H22" s="86"/>
      <c r="I22" s="21"/>
      <c r="J22" s="21"/>
      <c r="K22" s="21"/>
      <c r="L22" s="21"/>
      <c r="M22" s="21"/>
      <c r="N22" s="21"/>
      <c r="O22" s="21"/>
      <c r="P22" s="21"/>
      <c r="Q22" s="21"/>
      <c r="R22" s="21"/>
      <c r="S22" s="21"/>
      <c r="T22" s="21"/>
      <c r="U22" s="21"/>
      <c r="V22" s="21"/>
      <c r="W22" s="21"/>
      <c r="X22" s="21"/>
      <c r="Y22" s="21"/>
      <c r="Z22" s="21"/>
    </row>
    <row r="23" ht="15.75" customHeight="1">
      <c r="A23" s="84"/>
      <c r="B23" s="84" t="s">
        <v>243</v>
      </c>
      <c r="C23" s="84" t="s">
        <v>244</v>
      </c>
      <c r="D23" s="84" t="s">
        <v>245</v>
      </c>
      <c r="E23" s="86">
        <v>2.0</v>
      </c>
      <c r="F23" s="87">
        <v>152.0</v>
      </c>
      <c r="G23" s="86">
        <f t="shared" ref="G23:G27" si="2">F23*2</f>
        <v>304</v>
      </c>
      <c r="H23" s="86"/>
      <c r="I23" s="89" t="s">
        <v>247</v>
      </c>
      <c r="J23" s="21"/>
      <c r="K23" s="21"/>
      <c r="L23" s="21"/>
      <c r="M23" s="21"/>
      <c r="N23" s="21"/>
      <c r="O23" s="21"/>
      <c r="P23" s="21"/>
      <c r="Q23" s="21"/>
      <c r="R23" s="21"/>
      <c r="S23" s="21"/>
      <c r="T23" s="21"/>
      <c r="U23" s="21"/>
      <c r="V23" s="21"/>
      <c r="W23" s="21"/>
      <c r="X23" s="21"/>
      <c r="Y23" s="21"/>
      <c r="Z23" s="21"/>
    </row>
    <row r="24" ht="15.75" customHeight="1">
      <c r="A24" s="84"/>
      <c r="B24" s="90" t="s">
        <v>249</v>
      </c>
      <c r="C24" s="90" t="s">
        <v>250</v>
      </c>
      <c r="D24" s="84" t="s">
        <v>251</v>
      </c>
      <c r="E24" s="86">
        <v>2.0</v>
      </c>
      <c r="F24" s="87">
        <v>150.0</v>
      </c>
      <c r="G24" s="86">
        <f t="shared" si="2"/>
        <v>300</v>
      </c>
      <c r="H24" s="86"/>
      <c r="I24" s="72" t="s">
        <v>252</v>
      </c>
      <c r="J24" s="21"/>
      <c r="K24" s="21"/>
      <c r="L24" s="21"/>
      <c r="M24" s="21"/>
      <c r="N24" s="21"/>
      <c r="O24" s="21"/>
      <c r="P24" s="21"/>
      <c r="Q24" s="21"/>
      <c r="R24" s="21"/>
      <c r="S24" s="21"/>
      <c r="T24" s="21"/>
      <c r="U24" s="21"/>
      <c r="V24" s="21"/>
      <c r="W24" s="21"/>
      <c r="X24" s="21"/>
      <c r="Y24" s="21"/>
      <c r="Z24" s="21"/>
    </row>
    <row r="25" ht="15.75" customHeight="1">
      <c r="A25" s="84"/>
      <c r="B25" s="84" t="s">
        <v>254</v>
      </c>
      <c r="C25" s="84" t="s">
        <v>255</v>
      </c>
      <c r="D25" s="84" t="s">
        <v>256</v>
      </c>
      <c r="E25" s="86">
        <v>2.0</v>
      </c>
      <c r="F25" s="87">
        <v>20.0</v>
      </c>
      <c r="G25" s="86">
        <f t="shared" si="2"/>
        <v>40</v>
      </c>
      <c r="H25" s="86"/>
      <c r="I25" s="91" t="s">
        <v>258</v>
      </c>
      <c r="J25" s="21"/>
      <c r="K25" s="21"/>
      <c r="L25" s="21"/>
      <c r="M25" s="21"/>
      <c r="N25" s="21"/>
      <c r="O25" s="21"/>
      <c r="P25" s="21"/>
      <c r="Q25" s="21"/>
      <c r="R25" s="21"/>
      <c r="S25" s="21"/>
      <c r="T25" s="21"/>
      <c r="U25" s="21"/>
      <c r="V25" s="21"/>
      <c r="W25" s="21"/>
      <c r="X25" s="21"/>
      <c r="Y25" s="21"/>
      <c r="Z25" s="21"/>
    </row>
    <row r="26" ht="15.75" customHeight="1">
      <c r="A26" s="84"/>
      <c r="B26" s="84" t="s">
        <v>259</v>
      </c>
      <c r="C26" s="90" t="s">
        <v>260</v>
      </c>
      <c r="D26" s="84" t="s">
        <v>261</v>
      </c>
      <c r="E26" s="86">
        <v>2.0</v>
      </c>
      <c r="F26" s="87">
        <v>150.0</v>
      </c>
      <c r="G26" s="86">
        <f t="shared" si="2"/>
        <v>300</v>
      </c>
      <c r="H26" s="86"/>
      <c r="I26" s="41" t="s">
        <v>263</v>
      </c>
      <c r="J26" s="21"/>
      <c r="K26" s="21"/>
      <c r="L26" s="21"/>
      <c r="M26" s="21"/>
      <c r="N26" s="21"/>
      <c r="O26" s="21"/>
      <c r="P26" s="21"/>
      <c r="Q26" s="21"/>
      <c r="R26" s="21"/>
      <c r="S26" s="21"/>
      <c r="T26" s="21"/>
      <c r="U26" s="21"/>
      <c r="V26" s="21"/>
      <c r="W26" s="21"/>
      <c r="X26" s="21"/>
      <c r="Y26" s="21"/>
      <c r="Z26" s="21"/>
    </row>
    <row r="27" ht="15.75" customHeight="1">
      <c r="A27" s="84"/>
      <c r="B27" s="84" t="s">
        <v>264</v>
      </c>
      <c r="C27" s="84" t="s">
        <v>265</v>
      </c>
      <c r="D27" s="84" t="s">
        <v>266</v>
      </c>
      <c r="E27" s="86">
        <v>4.0</v>
      </c>
      <c r="F27" s="87">
        <v>64.0</v>
      </c>
      <c r="G27" s="86">
        <f t="shared" si="2"/>
        <v>128</v>
      </c>
      <c r="H27" s="86"/>
      <c r="I27" s="21"/>
      <c r="J27" s="21"/>
      <c r="K27" s="21"/>
      <c r="L27" s="21"/>
      <c r="M27" s="21"/>
      <c r="N27" s="21"/>
      <c r="O27" s="21"/>
      <c r="P27" s="21"/>
      <c r="Q27" s="21"/>
      <c r="R27" s="21"/>
      <c r="S27" s="21"/>
      <c r="T27" s="21"/>
      <c r="U27" s="21"/>
      <c r="V27" s="21"/>
      <c r="W27" s="21"/>
      <c r="X27" s="21"/>
      <c r="Y27" s="21"/>
      <c r="Z27" s="21"/>
    </row>
    <row r="28" ht="15.75" customHeight="1">
      <c r="A28" s="44"/>
      <c r="B28" s="44"/>
      <c r="C28" s="44"/>
      <c r="D28" s="44"/>
      <c r="E28" s="48"/>
      <c r="F28" s="48"/>
      <c r="G28" s="48"/>
      <c r="H28" s="48"/>
      <c r="I28" s="21"/>
      <c r="J28" s="21"/>
      <c r="K28" s="21"/>
      <c r="L28" s="21"/>
      <c r="M28" s="21"/>
      <c r="N28" s="21"/>
      <c r="O28" s="21"/>
      <c r="P28" s="21"/>
      <c r="Q28" s="21"/>
      <c r="R28" s="21"/>
      <c r="S28" s="21"/>
      <c r="T28" s="21"/>
      <c r="U28" s="21"/>
      <c r="V28" s="21"/>
      <c r="W28" s="21"/>
      <c r="X28" s="21"/>
      <c r="Y28" s="21"/>
      <c r="Z28" s="21"/>
    </row>
    <row r="29" ht="15.75" customHeight="1">
      <c r="A29" s="92" t="s">
        <v>267</v>
      </c>
      <c r="B29" s="92" t="s">
        <v>268</v>
      </c>
      <c r="C29" s="92" t="s">
        <v>269</v>
      </c>
      <c r="D29" s="92" t="s">
        <v>270</v>
      </c>
      <c r="E29" s="93">
        <v>1.0</v>
      </c>
      <c r="F29" s="94">
        <v>50.0</v>
      </c>
      <c r="G29" s="93">
        <f t="shared" ref="G29:G35" si="3">E29*F29</f>
        <v>50</v>
      </c>
      <c r="H29" s="93"/>
      <c r="I29" s="21"/>
      <c r="J29" s="21"/>
      <c r="K29" s="21"/>
      <c r="L29" s="21"/>
      <c r="M29" s="21"/>
      <c r="N29" s="21"/>
      <c r="O29" s="21"/>
      <c r="P29" s="21"/>
      <c r="Q29" s="21"/>
      <c r="R29" s="21"/>
      <c r="S29" s="21"/>
      <c r="T29" s="21"/>
      <c r="U29" s="21"/>
      <c r="V29" s="21"/>
      <c r="W29" s="21"/>
      <c r="X29" s="21"/>
      <c r="Y29" s="21"/>
      <c r="Z29" s="21"/>
    </row>
    <row r="30" ht="15.75" customHeight="1">
      <c r="A30" s="92"/>
      <c r="B30" s="92" t="s">
        <v>271</v>
      </c>
      <c r="C30" s="92" t="s">
        <v>272</v>
      </c>
      <c r="D30" s="92" t="s">
        <v>273</v>
      </c>
      <c r="E30" s="93">
        <v>2.0</v>
      </c>
      <c r="F30" s="94">
        <v>150.0</v>
      </c>
      <c r="G30" s="93">
        <f t="shared" si="3"/>
        <v>300</v>
      </c>
      <c r="H30" s="93"/>
      <c r="I30" s="21"/>
      <c r="J30" s="21"/>
      <c r="K30" s="21"/>
      <c r="L30" s="21"/>
      <c r="M30" s="21"/>
      <c r="N30" s="21"/>
      <c r="O30" s="21"/>
      <c r="P30" s="21"/>
      <c r="Q30" s="21"/>
      <c r="R30" s="21"/>
      <c r="S30" s="21"/>
      <c r="T30" s="21"/>
      <c r="U30" s="21"/>
      <c r="V30" s="21"/>
      <c r="W30" s="21"/>
      <c r="X30" s="21"/>
      <c r="Y30" s="21"/>
      <c r="Z30" s="21"/>
    </row>
    <row r="31" ht="15.75" customHeight="1">
      <c r="A31" s="92"/>
      <c r="B31" s="92" t="s">
        <v>275</v>
      </c>
      <c r="C31" s="92" t="s">
        <v>276</v>
      </c>
      <c r="D31" s="92" t="s">
        <v>277</v>
      </c>
      <c r="E31" s="93">
        <v>2.0</v>
      </c>
      <c r="F31" s="94">
        <v>200.0</v>
      </c>
      <c r="G31" s="93">
        <f t="shared" si="3"/>
        <v>400</v>
      </c>
      <c r="H31" s="93"/>
      <c r="I31" s="21"/>
      <c r="J31" s="21"/>
      <c r="K31" s="21"/>
      <c r="L31" s="21"/>
      <c r="M31" s="21"/>
      <c r="N31" s="21"/>
      <c r="O31" s="21"/>
      <c r="P31" s="21"/>
      <c r="Q31" s="21"/>
      <c r="R31" s="21"/>
      <c r="S31" s="21"/>
      <c r="T31" s="21"/>
      <c r="U31" s="21"/>
      <c r="V31" s="21"/>
      <c r="W31" s="21"/>
      <c r="X31" s="21"/>
      <c r="Y31" s="21"/>
      <c r="Z31" s="21"/>
    </row>
    <row r="32" ht="15.75" customHeight="1">
      <c r="A32" s="92"/>
      <c r="B32" s="92" t="s">
        <v>278</v>
      </c>
      <c r="C32" s="92" t="s">
        <v>279</v>
      </c>
      <c r="D32" s="92" t="s">
        <v>280</v>
      </c>
      <c r="E32" s="93">
        <v>1.0</v>
      </c>
      <c r="F32" s="94">
        <v>50.0</v>
      </c>
      <c r="G32" s="93">
        <f t="shared" si="3"/>
        <v>50</v>
      </c>
      <c r="H32" s="93"/>
      <c r="I32" s="21"/>
      <c r="J32" s="21"/>
      <c r="K32" s="21"/>
      <c r="L32" s="21"/>
      <c r="M32" s="21"/>
      <c r="N32" s="21"/>
      <c r="O32" s="21"/>
      <c r="P32" s="21"/>
      <c r="Q32" s="21"/>
      <c r="R32" s="21"/>
      <c r="S32" s="21"/>
      <c r="T32" s="21"/>
      <c r="U32" s="21"/>
      <c r="V32" s="21"/>
      <c r="W32" s="21"/>
      <c r="X32" s="21"/>
      <c r="Y32" s="21"/>
      <c r="Z32" s="21"/>
    </row>
    <row r="33" ht="15.75" customHeight="1">
      <c r="A33" s="92"/>
      <c r="B33" s="92" t="s">
        <v>282</v>
      </c>
      <c r="C33" s="92" t="s">
        <v>283</v>
      </c>
      <c r="D33" s="92" t="s">
        <v>284</v>
      </c>
      <c r="E33" s="93">
        <v>1.0</v>
      </c>
      <c r="F33" s="94">
        <v>200.0</v>
      </c>
      <c r="G33" s="93">
        <f t="shared" si="3"/>
        <v>200</v>
      </c>
      <c r="H33" s="93"/>
      <c r="I33" s="21"/>
      <c r="J33" s="21"/>
      <c r="K33" s="21"/>
      <c r="L33" s="21"/>
      <c r="M33" s="21"/>
      <c r="N33" s="21"/>
      <c r="O33" s="21"/>
      <c r="P33" s="21"/>
      <c r="Q33" s="21"/>
      <c r="R33" s="21"/>
      <c r="S33" s="21"/>
      <c r="T33" s="21"/>
      <c r="U33" s="21"/>
      <c r="V33" s="21"/>
      <c r="W33" s="21"/>
      <c r="X33" s="21"/>
      <c r="Y33" s="21"/>
      <c r="Z33" s="21"/>
    </row>
    <row r="34" ht="15.75" customHeight="1">
      <c r="A34" s="92"/>
      <c r="B34" s="92" t="s">
        <v>285</v>
      </c>
      <c r="C34" s="92" t="s">
        <v>286</v>
      </c>
      <c r="D34" s="92" t="s">
        <v>287</v>
      </c>
      <c r="E34" s="93">
        <v>2.0</v>
      </c>
      <c r="F34" s="94">
        <v>200.0</v>
      </c>
      <c r="G34" s="93">
        <f t="shared" si="3"/>
        <v>400</v>
      </c>
      <c r="H34" s="93"/>
      <c r="I34" s="21"/>
      <c r="J34" s="21"/>
      <c r="K34" s="21"/>
      <c r="L34" s="21"/>
      <c r="M34" s="21"/>
      <c r="N34" s="21"/>
      <c r="O34" s="21"/>
      <c r="P34" s="21"/>
      <c r="Q34" s="21"/>
      <c r="R34" s="21"/>
      <c r="S34" s="21"/>
      <c r="T34" s="21"/>
      <c r="U34" s="21"/>
      <c r="V34" s="21"/>
      <c r="W34" s="21"/>
      <c r="X34" s="21"/>
      <c r="Y34" s="21"/>
      <c r="Z34" s="21"/>
    </row>
    <row r="35" ht="15.75" customHeight="1">
      <c r="A35" s="92"/>
      <c r="B35" s="92" t="s">
        <v>288</v>
      </c>
      <c r="C35" s="92" t="s">
        <v>289</v>
      </c>
      <c r="D35" s="92" t="s">
        <v>290</v>
      </c>
      <c r="E35" s="93">
        <v>2.0</v>
      </c>
      <c r="F35" s="94">
        <v>400.0</v>
      </c>
      <c r="G35" s="93">
        <f t="shared" si="3"/>
        <v>800</v>
      </c>
      <c r="H35" s="93"/>
      <c r="I35" s="21"/>
      <c r="J35" s="21"/>
      <c r="K35" s="21"/>
      <c r="L35" s="21"/>
      <c r="M35" s="21"/>
      <c r="N35" s="21"/>
      <c r="O35" s="21"/>
      <c r="P35" s="21"/>
      <c r="Q35" s="21"/>
      <c r="R35" s="21"/>
      <c r="S35" s="21"/>
      <c r="T35" s="21"/>
      <c r="U35" s="21"/>
      <c r="V35" s="21"/>
      <c r="W35" s="21"/>
      <c r="X35" s="21"/>
      <c r="Y35" s="21"/>
      <c r="Z35" s="21"/>
    </row>
    <row r="36" ht="15.75" customHeight="1">
      <c r="A36" s="25"/>
      <c r="B36" s="25"/>
      <c r="C36" s="25"/>
      <c r="D36" s="25"/>
      <c r="E36" s="26"/>
      <c r="F36" s="26"/>
      <c r="G36" s="26"/>
      <c r="H36" s="48"/>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101"/>
      <c r="I37" s="21"/>
      <c r="J37" s="21"/>
      <c r="K37" s="21"/>
      <c r="L37" s="21"/>
      <c r="M37" s="21"/>
      <c r="N37" s="21"/>
      <c r="O37" s="21"/>
      <c r="P37" s="21"/>
      <c r="Q37" s="21"/>
      <c r="R37" s="21"/>
      <c r="S37" s="21"/>
      <c r="T37" s="21"/>
      <c r="U37" s="21"/>
      <c r="V37" s="21"/>
      <c r="W37" s="21"/>
      <c r="X37" s="21"/>
      <c r="Y37" s="21"/>
      <c r="Z37" s="21"/>
    </row>
    <row r="38" ht="15.0" customHeight="1">
      <c r="A38" s="102" t="s">
        <v>291</v>
      </c>
      <c r="B38" s="102" t="s">
        <v>292</v>
      </c>
      <c r="C38" s="102" t="s">
        <v>293</v>
      </c>
      <c r="D38" s="103" t="s">
        <v>294</v>
      </c>
      <c r="E38" s="104">
        <v>1.0</v>
      </c>
      <c r="F38" s="105">
        <v>1500.0</v>
      </c>
      <c r="G38" s="104">
        <f t="shared" ref="G38:G43" si="4">F38*E38</f>
        <v>1500</v>
      </c>
      <c r="H38" s="104"/>
      <c r="I38" s="21"/>
      <c r="J38" s="21"/>
      <c r="K38" s="21"/>
      <c r="L38" s="21"/>
      <c r="M38" s="21"/>
      <c r="N38" s="21"/>
      <c r="O38" s="21"/>
      <c r="P38" s="21"/>
      <c r="Q38" s="21"/>
      <c r="R38" s="21"/>
      <c r="S38" s="21"/>
      <c r="T38" s="21"/>
      <c r="U38" s="21"/>
      <c r="V38" s="21"/>
      <c r="W38" s="21"/>
      <c r="X38" s="21"/>
      <c r="Y38" s="21"/>
      <c r="Z38" s="21"/>
    </row>
    <row r="39" ht="15.0" customHeight="1">
      <c r="A39" s="102"/>
      <c r="B39" s="102" t="s">
        <v>295</v>
      </c>
      <c r="C39" s="102" t="s">
        <v>296</v>
      </c>
      <c r="D39" s="103" t="s">
        <v>297</v>
      </c>
      <c r="E39" s="104">
        <v>1.0</v>
      </c>
      <c r="F39" s="105">
        <v>100.0</v>
      </c>
      <c r="G39" s="104">
        <f t="shared" si="4"/>
        <v>100</v>
      </c>
      <c r="H39" s="104"/>
      <c r="I39" s="21"/>
      <c r="J39" s="21"/>
      <c r="K39" s="21"/>
      <c r="L39" s="21"/>
      <c r="M39" s="21"/>
      <c r="N39" s="21"/>
      <c r="O39" s="21"/>
      <c r="P39" s="21"/>
      <c r="Q39" s="21"/>
      <c r="R39" s="21"/>
      <c r="S39" s="21"/>
      <c r="T39" s="21"/>
      <c r="U39" s="21"/>
      <c r="V39" s="21"/>
      <c r="W39" s="21"/>
      <c r="X39" s="21"/>
      <c r="Y39" s="21"/>
      <c r="Z39" s="21"/>
    </row>
    <row r="40" ht="15.0" customHeight="1">
      <c r="A40" s="106"/>
      <c r="B40" s="106" t="s">
        <v>298</v>
      </c>
      <c r="C40" s="102" t="s">
        <v>293</v>
      </c>
      <c r="D40" s="106" t="s">
        <v>299</v>
      </c>
      <c r="E40" s="107">
        <v>1.0</v>
      </c>
      <c r="F40" s="108">
        <v>200.0</v>
      </c>
      <c r="G40" s="104">
        <f t="shared" si="4"/>
        <v>200</v>
      </c>
      <c r="H40" s="107"/>
      <c r="I40" s="21"/>
      <c r="J40" s="21"/>
      <c r="K40" s="21"/>
      <c r="L40" s="21"/>
      <c r="M40" s="21"/>
      <c r="N40" s="21"/>
      <c r="O40" s="21"/>
      <c r="P40" s="21"/>
      <c r="Q40" s="21"/>
      <c r="R40" s="21"/>
      <c r="S40" s="21"/>
      <c r="T40" s="21"/>
      <c r="U40" s="21"/>
      <c r="V40" s="21"/>
      <c r="W40" s="21"/>
      <c r="X40" s="21"/>
      <c r="Y40" s="21"/>
      <c r="Z40" s="21"/>
    </row>
    <row r="41" ht="15.0" customHeight="1">
      <c r="A41" s="106"/>
      <c r="B41" s="106" t="s">
        <v>300</v>
      </c>
      <c r="C41" s="102" t="s">
        <v>293</v>
      </c>
      <c r="D41" s="106" t="s">
        <v>301</v>
      </c>
      <c r="E41" s="107">
        <v>1.0</v>
      </c>
      <c r="F41" s="108">
        <v>50.0</v>
      </c>
      <c r="G41" s="104">
        <f t="shared" si="4"/>
        <v>50</v>
      </c>
      <c r="H41" s="107"/>
      <c r="I41" s="21"/>
      <c r="J41" s="21"/>
      <c r="K41" s="21"/>
      <c r="L41" s="21"/>
      <c r="M41" s="21"/>
      <c r="N41" s="21"/>
      <c r="O41" s="21"/>
      <c r="P41" s="21"/>
      <c r="Q41" s="21"/>
      <c r="R41" s="21"/>
      <c r="S41" s="21"/>
      <c r="T41" s="21"/>
      <c r="U41" s="21"/>
      <c r="V41" s="21"/>
      <c r="W41" s="21"/>
      <c r="X41" s="21"/>
      <c r="Y41" s="21"/>
      <c r="Z41" s="21"/>
    </row>
    <row r="42" ht="15.0" customHeight="1">
      <c r="A42" s="106"/>
      <c r="B42" s="106" t="s">
        <v>302</v>
      </c>
      <c r="C42" s="102" t="s">
        <v>293</v>
      </c>
      <c r="D42" s="106" t="s">
        <v>303</v>
      </c>
      <c r="E42" s="107">
        <v>1.0</v>
      </c>
      <c r="F42" s="107"/>
      <c r="G42" s="104">
        <f t="shared" si="4"/>
        <v>0</v>
      </c>
      <c r="H42" s="107"/>
      <c r="I42" s="21"/>
      <c r="J42" s="21"/>
      <c r="K42" s="21"/>
      <c r="L42" s="21"/>
      <c r="M42" s="21"/>
      <c r="N42" s="21"/>
      <c r="O42" s="21"/>
      <c r="P42" s="21"/>
      <c r="Q42" s="21"/>
      <c r="R42" s="21"/>
      <c r="S42" s="21"/>
      <c r="T42" s="21"/>
      <c r="U42" s="21"/>
      <c r="V42" s="21"/>
      <c r="W42" s="21"/>
      <c r="X42" s="21"/>
      <c r="Y42" s="21"/>
      <c r="Z42" s="21"/>
    </row>
    <row r="43" ht="15.0" customHeight="1">
      <c r="A43" s="106"/>
      <c r="B43" s="106" t="s">
        <v>304</v>
      </c>
      <c r="C43" s="106" t="s">
        <v>305</v>
      </c>
      <c r="D43" s="106" t="s">
        <v>306</v>
      </c>
      <c r="E43" s="107">
        <v>2.0</v>
      </c>
      <c r="F43" s="108">
        <v>60.0</v>
      </c>
      <c r="G43" s="104">
        <f t="shared" si="4"/>
        <v>120</v>
      </c>
      <c r="H43" s="107"/>
      <c r="I43" s="21"/>
      <c r="J43" s="21"/>
      <c r="K43" s="21"/>
      <c r="L43" s="21"/>
      <c r="M43" s="21"/>
      <c r="N43" s="21"/>
      <c r="O43" s="21"/>
      <c r="P43" s="21"/>
      <c r="Q43" s="21"/>
      <c r="R43" s="21"/>
      <c r="S43" s="21"/>
      <c r="T43" s="21"/>
      <c r="U43" s="21"/>
      <c r="V43" s="21"/>
      <c r="W43" s="21"/>
      <c r="X43" s="21"/>
      <c r="Y43" s="21"/>
      <c r="Z43" s="21"/>
    </row>
    <row r="44" ht="15.0" customHeight="1">
      <c r="A44" s="21"/>
      <c r="B44" s="21"/>
      <c r="C44" s="21"/>
      <c r="D44" s="21"/>
      <c r="E44" s="21"/>
      <c r="F44" s="21"/>
      <c r="G44" s="21"/>
      <c r="H44" s="101"/>
      <c r="I44" s="21"/>
      <c r="J44" s="21"/>
      <c r="K44" s="21"/>
      <c r="L44" s="21"/>
      <c r="M44" s="21"/>
      <c r="N44" s="21"/>
      <c r="O44" s="21"/>
      <c r="P44" s="21"/>
      <c r="Q44" s="21"/>
      <c r="R44" s="21"/>
      <c r="S44" s="21"/>
      <c r="T44" s="21"/>
      <c r="U44" s="21"/>
      <c r="V44" s="21"/>
      <c r="W44" s="21"/>
      <c r="X44" s="21"/>
      <c r="Y44" s="21"/>
      <c r="Z44" s="21"/>
    </row>
    <row r="45" ht="15.0" customHeight="1">
      <c r="A45" s="109" t="s">
        <v>307</v>
      </c>
      <c r="B45" s="109" t="s">
        <v>308</v>
      </c>
      <c r="C45" s="109" t="s">
        <v>309</v>
      </c>
      <c r="D45" s="109" t="s">
        <v>310</v>
      </c>
      <c r="E45" s="110">
        <v>1.0</v>
      </c>
      <c r="F45" s="111">
        <v>100.0</v>
      </c>
      <c r="G45" s="111">
        <v>100.0</v>
      </c>
      <c r="H45" s="110"/>
      <c r="I45" s="21"/>
      <c r="J45" s="21"/>
      <c r="K45" s="21"/>
      <c r="L45" s="21"/>
      <c r="M45" s="21"/>
      <c r="N45" s="21"/>
      <c r="O45" s="21"/>
      <c r="P45" s="21"/>
      <c r="Q45" s="21"/>
      <c r="R45" s="21"/>
      <c r="S45" s="21"/>
      <c r="T45" s="21"/>
      <c r="U45" s="21"/>
      <c r="V45" s="21"/>
      <c r="W45" s="21"/>
      <c r="X45" s="21"/>
      <c r="Y45" s="21"/>
      <c r="Z45" s="21"/>
    </row>
    <row r="46" ht="15.0" customHeight="1">
      <c r="A46" s="109"/>
      <c r="B46" s="109" t="s">
        <v>311</v>
      </c>
      <c r="C46" s="109" t="s">
        <v>310</v>
      </c>
      <c r="D46" s="109" t="s">
        <v>312</v>
      </c>
      <c r="E46" s="110">
        <v>1.0</v>
      </c>
      <c r="F46" s="110"/>
      <c r="G46" s="110"/>
      <c r="H46" s="110"/>
      <c r="I46" s="21"/>
      <c r="J46" s="21"/>
      <c r="K46" s="21"/>
      <c r="L46" s="21"/>
      <c r="M46" s="21"/>
      <c r="N46" s="21"/>
      <c r="O46" s="21"/>
      <c r="P46" s="21"/>
      <c r="Q46" s="21"/>
      <c r="R46" s="21"/>
      <c r="S46" s="21"/>
      <c r="T46" s="21"/>
      <c r="U46" s="21"/>
      <c r="V46" s="21"/>
      <c r="W46" s="21"/>
      <c r="X46" s="21"/>
      <c r="Y46" s="21"/>
      <c r="Z46" s="21"/>
    </row>
    <row r="47" ht="40.5" customHeight="1">
      <c r="A47" s="109"/>
      <c r="B47" s="109" t="s">
        <v>313</v>
      </c>
      <c r="C47" s="109" t="s">
        <v>293</v>
      </c>
      <c r="D47" s="109" t="s">
        <v>314</v>
      </c>
      <c r="E47" s="110">
        <v>2.0</v>
      </c>
      <c r="F47" s="111">
        <v>200.0</v>
      </c>
      <c r="G47" s="110">
        <f t="shared" ref="G47:G50" si="5">F47*E47</f>
        <v>400</v>
      </c>
      <c r="H47" s="110"/>
      <c r="I47" s="21"/>
      <c r="J47" s="21"/>
      <c r="K47" s="21"/>
      <c r="L47" s="21"/>
      <c r="M47" s="21"/>
      <c r="N47" s="21"/>
      <c r="O47" s="21"/>
      <c r="P47" s="21"/>
      <c r="Q47" s="21"/>
      <c r="R47" s="21"/>
      <c r="S47" s="21"/>
      <c r="T47" s="21"/>
      <c r="U47" s="21"/>
      <c r="V47" s="21"/>
      <c r="W47" s="21"/>
      <c r="X47" s="21"/>
      <c r="Y47" s="21"/>
      <c r="Z47" s="21"/>
    </row>
    <row r="48" ht="15.0" customHeight="1">
      <c r="A48" s="109"/>
      <c r="B48" s="109" t="s">
        <v>315</v>
      </c>
      <c r="C48" s="109" t="s">
        <v>293</v>
      </c>
      <c r="D48" s="109" t="s">
        <v>316</v>
      </c>
      <c r="E48" s="110">
        <v>1.0</v>
      </c>
      <c r="F48" s="111">
        <v>100.0</v>
      </c>
      <c r="G48" s="110">
        <f t="shared" si="5"/>
        <v>100</v>
      </c>
      <c r="H48" s="110"/>
      <c r="I48" s="21"/>
      <c r="J48" s="21"/>
      <c r="K48" s="21"/>
      <c r="L48" s="21"/>
      <c r="M48" s="21"/>
      <c r="N48" s="21"/>
      <c r="O48" s="21"/>
      <c r="P48" s="21"/>
      <c r="Q48" s="21"/>
      <c r="R48" s="21"/>
      <c r="S48" s="21"/>
      <c r="T48" s="21"/>
      <c r="U48" s="21"/>
      <c r="V48" s="21"/>
      <c r="W48" s="21"/>
      <c r="X48" s="21"/>
      <c r="Y48" s="21"/>
      <c r="Z48" s="21"/>
    </row>
    <row r="49" ht="15.0" customHeight="1">
      <c r="A49" s="109"/>
      <c r="B49" s="109" t="s">
        <v>317</v>
      </c>
      <c r="C49" s="109" t="s">
        <v>318</v>
      </c>
      <c r="D49" s="109" t="s">
        <v>319</v>
      </c>
      <c r="E49" s="110">
        <v>1.0</v>
      </c>
      <c r="F49" s="111">
        <v>200.0</v>
      </c>
      <c r="G49" s="110">
        <f t="shared" si="5"/>
        <v>200</v>
      </c>
      <c r="H49" s="110"/>
      <c r="I49" s="21"/>
      <c r="J49" s="21"/>
      <c r="K49" s="21"/>
      <c r="L49" s="21"/>
      <c r="M49" s="21"/>
      <c r="N49" s="21"/>
      <c r="O49" s="21"/>
      <c r="P49" s="21"/>
      <c r="Q49" s="21"/>
      <c r="R49" s="21"/>
      <c r="S49" s="21"/>
      <c r="T49" s="21"/>
      <c r="U49" s="21"/>
      <c r="V49" s="21"/>
      <c r="W49" s="21"/>
      <c r="X49" s="21"/>
      <c r="Y49" s="21"/>
      <c r="Z49" s="21"/>
    </row>
    <row r="50" ht="33.0" customHeight="1">
      <c r="A50" s="109"/>
      <c r="B50" s="109" t="s">
        <v>320</v>
      </c>
      <c r="C50" s="109" t="s">
        <v>321</v>
      </c>
      <c r="D50" s="109" t="s">
        <v>322</v>
      </c>
      <c r="E50" s="110">
        <v>1.0</v>
      </c>
      <c r="F50" s="111">
        <v>650.0</v>
      </c>
      <c r="G50" s="110">
        <f t="shared" si="5"/>
        <v>650</v>
      </c>
      <c r="H50" s="110"/>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41" t="s">
        <v>323</v>
      </c>
      <c r="G53" s="21">
        <f>sum(G6:G50)</f>
        <v>15902</v>
      </c>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47:$G$48"/>
  <mergeCells count="2">
    <mergeCell ref="A1:H1"/>
    <mergeCell ref="A2:H2"/>
  </mergeCells>
  <hyperlinks>
    <hyperlink r:id="rId1" ref="I8"/>
    <hyperlink r:id="rId2" ref="I14"/>
    <hyperlink r:id="rId3" ref="I23"/>
    <hyperlink r:id="rId4" ref="I24"/>
    <hyperlink r:id="rId5" ref="I25"/>
  </hyperlinks>
  <printOptions gridLines="1" horizontalCentered="1"/>
  <pageMargins bottom="0.75" footer="0.0" header="0.0" left="0.7" right="0.7" top="0.75"/>
  <pageSetup fitToHeight="0" cellComments="atEnd" orientation="landscape" pageOrder="overThenDown"/>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7.5"/>
    <col customWidth="1" min="3" max="3" width="17.0"/>
    <col customWidth="1" min="4" max="6" width="12.63"/>
  </cols>
  <sheetData>
    <row r="1" ht="15.75" customHeight="1"/>
    <row r="2" ht="15.75" customHeight="1">
      <c r="A2" s="27" t="s">
        <v>94</v>
      </c>
      <c r="B2" s="31" t="s">
        <v>7</v>
      </c>
      <c r="C2" s="33" t="s">
        <v>96</v>
      </c>
      <c r="D2" s="35"/>
    </row>
    <row r="3" ht="15.75" customHeight="1">
      <c r="A3" s="36">
        <v>1.0</v>
      </c>
      <c r="B3" s="37" t="s">
        <v>102</v>
      </c>
      <c r="C3" s="38">
        <v>8.0</v>
      </c>
      <c r="D3" s="35"/>
    </row>
    <row r="4" ht="15.75" customHeight="1">
      <c r="A4" s="40">
        <v>2.0</v>
      </c>
      <c r="B4" s="37" t="s">
        <v>109</v>
      </c>
      <c r="C4" s="42">
        <v>40.0</v>
      </c>
      <c r="D4" s="35"/>
    </row>
    <row r="5" ht="15.75" customHeight="1">
      <c r="A5" s="40">
        <v>3.0</v>
      </c>
      <c r="B5" s="37" t="s">
        <v>112</v>
      </c>
      <c r="C5" s="42">
        <v>8.0</v>
      </c>
      <c r="D5" s="35"/>
    </row>
    <row r="6" ht="15.75" customHeight="1">
      <c r="A6" s="40">
        <v>4.0</v>
      </c>
      <c r="B6" s="37" t="s">
        <v>113</v>
      </c>
      <c r="C6" s="42">
        <v>16.0</v>
      </c>
      <c r="D6" s="35"/>
    </row>
    <row r="7" ht="15.75" customHeight="1">
      <c r="A7" s="40">
        <v>5.0</v>
      </c>
      <c r="B7" s="37" t="s">
        <v>116</v>
      </c>
      <c r="C7" s="42">
        <v>8.0</v>
      </c>
      <c r="D7" s="35"/>
    </row>
    <row r="8" ht="15.75" customHeight="1">
      <c r="A8" s="40">
        <v>6.0</v>
      </c>
      <c r="B8" s="37" t="s">
        <v>119</v>
      </c>
      <c r="C8" s="42">
        <v>4.0</v>
      </c>
      <c r="D8" s="35"/>
    </row>
    <row r="9" ht="15.75" customHeight="1">
      <c r="A9" s="40">
        <v>7.0</v>
      </c>
      <c r="B9" s="37" t="s">
        <v>122</v>
      </c>
      <c r="C9" s="42">
        <v>4.0</v>
      </c>
      <c r="D9" s="35"/>
    </row>
    <row r="10" ht="15.75" customHeight="1">
      <c r="A10" s="40">
        <v>8.0</v>
      </c>
      <c r="B10" s="37" t="s">
        <v>125</v>
      </c>
      <c r="C10" s="42">
        <v>4.0</v>
      </c>
      <c r="D10" s="35"/>
    </row>
    <row r="11" ht="15.75" customHeight="1">
      <c r="A11" s="40">
        <v>9.0</v>
      </c>
      <c r="B11" s="37" t="s">
        <v>126</v>
      </c>
      <c r="C11" s="42">
        <v>36.0</v>
      </c>
      <c r="D11" s="35"/>
    </row>
    <row r="12" ht="15.75" customHeight="1">
      <c r="A12" s="40">
        <v>10.0</v>
      </c>
      <c r="B12" s="37" t="s">
        <v>127</v>
      </c>
      <c r="C12" s="42">
        <v>10.0</v>
      </c>
      <c r="D12" s="35"/>
    </row>
    <row r="13" ht="15.75" customHeight="1">
      <c r="A13" s="40">
        <v>11.0</v>
      </c>
      <c r="B13" s="37" t="s">
        <v>128</v>
      </c>
      <c r="C13" s="42">
        <v>4.0</v>
      </c>
      <c r="D13" s="35"/>
    </row>
    <row r="14" ht="15.75" customHeight="1">
      <c r="A14" s="40">
        <v>12.0</v>
      </c>
      <c r="B14" s="37" t="s">
        <v>129</v>
      </c>
      <c r="C14" s="42">
        <v>8.0</v>
      </c>
      <c r="D14" s="35"/>
    </row>
    <row r="15" ht="15.75" customHeight="1">
      <c r="A15" s="40">
        <v>13.0</v>
      </c>
      <c r="B15" s="37" t="s">
        <v>130</v>
      </c>
      <c r="C15" s="42">
        <v>4.0</v>
      </c>
      <c r="D15" s="35"/>
    </row>
    <row r="16" ht="15.75" customHeight="1">
      <c r="A16" s="40">
        <v>14.0</v>
      </c>
      <c r="B16" s="37" t="s">
        <v>131</v>
      </c>
      <c r="C16" s="42">
        <v>4.0</v>
      </c>
      <c r="D16" s="35"/>
    </row>
    <row r="17" ht="15.75" customHeight="1">
      <c r="A17" s="40">
        <v>15.0</v>
      </c>
      <c r="B17" s="37" t="s">
        <v>133</v>
      </c>
      <c r="C17" s="42">
        <v>10.0</v>
      </c>
      <c r="D17" s="35"/>
    </row>
    <row r="18" ht="15.75" customHeight="1">
      <c r="A18" s="40">
        <v>16.0</v>
      </c>
      <c r="B18" s="37" t="s">
        <v>134</v>
      </c>
      <c r="C18" s="42">
        <v>4.0</v>
      </c>
      <c r="D18" s="35"/>
    </row>
    <row r="19" ht="15.75" customHeight="1">
      <c r="A19" s="40">
        <v>17.0</v>
      </c>
      <c r="B19" s="37" t="s">
        <v>136</v>
      </c>
      <c r="C19" s="42">
        <v>12.0</v>
      </c>
      <c r="D19" s="35"/>
    </row>
    <row r="20" ht="15.75" customHeight="1">
      <c r="A20" s="40">
        <v>18.0</v>
      </c>
      <c r="B20" s="37" t="s">
        <v>137</v>
      </c>
      <c r="C20" s="42">
        <v>14.0</v>
      </c>
      <c r="D20" s="35"/>
    </row>
    <row r="21" ht="15.75" customHeight="1">
      <c r="A21" s="40">
        <v>19.0</v>
      </c>
      <c r="B21" s="37" t="s">
        <v>138</v>
      </c>
      <c r="C21" s="42">
        <v>8.0</v>
      </c>
      <c r="D21" s="35"/>
    </row>
    <row r="22" ht="15.75" customHeight="1">
      <c r="A22" s="40">
        <v>20.0</v>
      </c>
      <c r="B22" s="63" t="s">
        <v>118</v>
      </c>
      <c r="C22" s="42">
        <v>58.0</v>
      </c>
      <c r="D22" s="35"/>
    </row>
    <row r="23" ht="15.75" customHeight="1">
      <c r="A23" s="40">
        <v>21.0</v>
      </c>
      <c r="B23" s="63" t="s">
        <v>120</v>
      </c>
      <c r="C23" s="42">
        <v>48.0</v>
      </c>
      <c r="D23" s="35"/>
    </row>
    <row r="24" ht="15.75" customHeight="1">
      <c r="A24" s="40">
        <v>22.0</v>
      </c>
      <c r="B24" s="63" t="s">
        <v>121</v>
      </c>
      <c r="C24" s="42">
        <v>16.0</v>
      </c>
      <c r="D24" s="35"/>
    </row>
    <row r="25" ht="15.75" customHeight="1">
      <c r="A25" s="40">
        <v>23.0</v>
      </c>
      <c r="B25" s="63" t="s">
        <v>123</v>
      </c>
      <c r="C25" s="42">
        <v>8.0</v>
      </c>
      <c r="D25" s="35"/>
    </row>
    <row r="26" ht="15.75" customHeight="1">
      <c r="A26" s="40">
        <v>24.0</v>
      </c>
      <c r="B26" s="37" t="s">
        <v>124</v>
      </c>
      <c r="C26" s="42">
        <v>16.0</v>
      </c>
      <c r="D26" s="35"/>
    </row>
    <row r="27" ht="15.75" customHeight="1">
      <c r="A27" s="40">
        <v>25.0</v>
      </c>
      <c r="B27" s="37" t="s">
        <v>139</v>
      </c>
      <c r="C27" s="42">
        <v>4.0</v>
      </c>
      <c r="D27" s="35"/>
    </row>
    <row r="28" ht="15.75" customHeight="1">
      <c r="A28" s="40">
        <v>26.0</v>
      </c>
      <c r="B28" s="37" t="s">
        <v>140</v>
      </c>
      <c r="C28" s="42">
        <v>4.0</v>
      </c>
      <c r="D28" s="35"/>
    </row>
    <row r="29" ht="15.75" customHeight="1">
      <c r="A29" s="40">
        <v>27.0</v>
      </c>
      <c r="B29" s="37" t="s">
        <v>142</v>
      </c>
      <c r="C29" s="42">
        <v>36.0</v>
      </c>
      <c r="D29" s="35"/>
    </row>
    <row r="30" ht="15.75" customHeight="1">
      <c r="A30" s="40">
        <v>28.0</v>
      </c>
      <c r="B30" s="37" t="s">
        <v>143</v>
      </c>
      <c r="C30" s="42">
        <v>4.0</v>
      </c>
      <c r="D30" s="35"/>
    </row>
    <row r="31" ht="15.75" customHeight="1">
      <c r="A31" s="40">
        <v>29.0</v>
      </c>
      <c r="B31" s="37" t="s">
        <v>145</v>
      </c>
      <c r="C31" s="42">
        <v>48.0</v>
      </c>
      <c r="D31" s="35"/>
    </row>
    <row r="32" ht="15.75" customHeight="1">
      <c r="A32" s="40">
        <v>30.0</v>
      </c>
      <c r="B32" s="37" t="s">
        <v>146</v>
      </c>
      <c r="C32" s="42">
        <v>16.0</v>
      </c>
      <c r="D32" s="35"/>
    </row>
    <row r="33" ht="15.75" customHeight="1">
      <c r="A33" s="40">
        <v>31.0</v>
      </c>
      <c r="B33" s="37" t="s">
        <v>149</v>
      </c>
      <c r="C33" s="42">
        <v>4.0</v>
      </c>
      <c r="D33" s="35"/>
    </row>
    <row r="34" ht="15.75" customHeight="1">
      <c r="A34" s="40">
        <v>32.0</v>
      </c>
      <c r="B34" s="37" t="s">
        <v>151</v>
      </c>
      <c r="C34" s="42">
        <v>12.0</v>
      </c>
      <c r="D34" s="35"/>
    </row>
    <row r="35" ht="15.75" customHeight="1">
      <c r="A35" s="40">
        <v>33.0</v>
      </c>
      <c r="B35" s="37" t="s">
        <v>152</v>
      </c>
      <c r="C35" s="42">
        <v>4.0</v>
      </c>
      <c r="D35" s="35"/>
    </row>
    <row r="36" ht="15.75" customHeight="1">
      <c r="A36" s="40">
        <v>34.0</v>
      </c>
      <c r="B36" s="37" t="s">
        <v>153</v>
      </c>
      <c r="C36" s="42">
        <v>4.0</v>
      </c>
      <c r="D36" s="35"/>
    </row>
    <row r="37" ht="15.75" customHeight="1">
      <c r="A37" s="40">
        <v>35.0</v>
      </c>
      <c r="B37" s="37" t="s">
        <v>154</v>
      </c>
      <c r="C37" s="42">
        <v>10.0</v>
      </c>
      <c r="D37" s="35"/>
    </row>
    <row r="38" ht="15.75" customHeight="1">
      <c r="A38" s="40">
        <v>36.0</v>
      </c>
      <c r="B38" s="37" t="s">
        <v>155</v>
      </c>
      <c r="C38" s="42">
        <v>12.0</v>
      </c>
      <c r="D38" s="35"/>
    </row>
    <row r="39" ht="15.75" customHeight="1">
      <c r="A39" s="40">
        <v>37.0</v>
      </c>
      <c r="B39" s="37" t="s">
        <v>156</v>
      </c>
      <c r="C39" s="42">
        <v>32.0</v>
      </c>
      <c r="D39" s="35"/>
    </row>
    <row r="40" ht="15.75" customHeight="1">
      <c r="A40" s="40">
        <v>38.0</v>
      </c>
      <c r="B40" s="37" t="s">
        <v>157</v>
      </c>
      <c r="C40" s="42">
        <v>16.0</v>
      </c>
      <c r="D40" s="35"/>
    </row>
    <row r="41" ht="15.75" customHeight="1">
      <c r="A41" s="40">
        <v>39.0</v>
      </c>
      <c r="B41" s="37" t="s">
        <v>158</v>
      </c>
      <c r="C41" s="42">
        <v>8.0</v>
      </c>
      <c r="D41" s="35"/>
    </row>
    <row r="42" ht="15.75" customHeight="1">
      <c r="A42" s="40">
        <v>40.0</v>
      </c>
      <c r="B42" s="37" t="s">
        <v>159</v>
      </c>
      <c r="C42" s="42">
        <v>8.0</v>
      </c>
      <c r="D42" s="35"/>
    </row>
    <row r="43" ht="15.75" customHeight="1">
      <c r="A43" s="40">
        <v>41.0</v>
      </c>
      <c r="B43" s="63" t="s">
        <v>163</v>
      </c>
      <c r="C43" s="42">
        <v>2.0</v>
      </c>
      <c r="D43" s="35"/>
    </row>
    <row r="44" ht="15.75" customHeight="1">
      <c r="A44" s="40">
        <v>42.0</v>
      </c>
      <c r="B44" s="63" t="s">
        <v>164</v>
      </c>
      <c r="C44" s="42">
        <v>2.0</v>
      </c>
      <c r="D44" s="35"/>
    </row>
    <row r="45" ht="15.75" customHeight="1">
      <c r="A45" s="40"/>
      <c r="B45" s="71"/>
      <c r="C45" s="42"/>
      <c r="D45" s="35"/>
    </row>
    <row r="46" ht="15.75" customHeight="1">
      <c r="A46" s="35"/>
      <c r="B46" s="35"/>
      <c r="C46" s="35"/>
      <c r="D46" s="35"/>
    </row>
    <row r="47" ht="15.75" customHeight="1">
      <c r="A47" s="35"/>
      <c r="B47" s="35"/>
      <c r="C47" s="35"/>
      <c r="D47" s="35"/>
    </row>
    <row r="48" ht="15.75" customHeight="1">
      <c r="A48" s="35"/>
      <c r="B48" s="35"/>
      <c r="C48" s="35"/>
      <c r="D48" s="35"/>
    </row>
    <row r="49" ht="15.75" customHeight="1">
      <c r="A49" s="35"/>
      <c r="B49" s="35"/>
      <c r="C49" s="35"/>
      <c r="D49" s="35"/>
    </row>
    <row r="50" ht="15.75" customHeight="1">
      <c r="A50" s="35"/>
      <c r="B50" s="35"/>
      <c r="C50" s="35"/>
      <c r="D50" s="35"/>
    </row>
    <row r="51" ht="15.75" customHeight="1">
      <c r="A51" s="35"/>
      <c r="B51" s="35"/>
      <c r="C51" s="35"/>
      <c r="D51" s="35"/>
    </row>
    <row r="52" ht="15.75" customHeight="1">
      <c r="A52" s="35"/>
      <c r="B52" s="35"/>
      <c r="C52" s="35"/>
      <c r="D52" s="35"/>
    </row>
    <row r="53" ht="15.75" customHeight="1">
      <c r="A53" s="35"/>
      <c r="B53" s="35"/>
      <c r="C53" s="35"/>
      <c r="D53" s="35"/>
    </row>
    <row r="54" ht="15.75" customHeight="1">
      <c r="A54" s="35"/>
      <c r="B54" s="35"/>
      <c r="C54" s="35"/>
      <c r="D54" s="35"/>
    </row>
    <row r="55" ht="15.75" customHeight="1">
      <c r="A55" s="35"/>
      <c r="B55" s="35"/>
      <c r="C55" s="35"/>
      <c r="D55" s="35"/>
    </row>
    <row r="56" ht="15.75" customHeight="1">
      <c r="A56" s="35"/>
      <c r="B56" s="35"/>
      <c r="C56" s="35"/>
      <c r="D56" s="35"/>
    </row>
    <row r="57" ht="15.75" customHeight="1">
      <c r="A57" s="35"/>
      <c r="B57" s="35"/>
      <c r="C57" s="35"/>
      <c r="D57" s="35"/>
    </row>
    <row r="58" ht="15.75" customHeight="1">
      <c r="A58" s="35"/>
      <c r="B58" s="35"/>
      <c r="C58" s="35"/>
      <c r="D58" s="35"/>
    </row>
    <row r="59" ht="15.75" customHeight="1">
      <c r="A59" s="35"/>
      <c r="B59" s="35"/>
      <c r="C59" s="35"/>
      <c r="D59" s="35"/>
    </row>
    <row r="60" ht="15.75" customHeight="1">
      <c r="A60" s="35"/>
      <c r="B60" s="35"/>
      <c r="C60" s="35"/>
      <c r="D60" s="35"/>
    </row>
    <row r="61" ht="15.75" customHeight="1">
      <c r="A61" s="35"/>
      <c r="B61" s="35"/>
      <c r="C61" s="35"/>
      <c r="D61" s="35"/>
    </row>
    <row r="62" ht="15.75" customHeight="1">
      <c r="A62" s="35"/>
      <c r="B62" s="35"/>
      <c r="C62" s="35"/>
      <c r="D62" s="35"/>
    </row>
    <row r="63" ht="15.75" customHeight="1">
      <c r="A63" s="35"/>
      <c r="B63" s="35"/>
      <c r="C63" s="35"/>
      <c r="D63" s="35"/>
    </row>
    <row r="64" ht="15.75" customHeight="1">
      <c r="A64" s="35"/>
      <c r="B64" s="35"/>
      <c r="C64" s="35"/>
      <c r="D64" s="3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6.0"/>
    <col customWidth="1" min="3" max="4" width="12.63"/>
    <col customWidth="1" min="5" max="5" width="29.38"/>
    <col customWidth="1" min="6" max="6" width="25.0"/>
    <col customWidth="1" min="7" max="7" width="22.13"/>
    <col customWidth="1" min="8" max="8" width="21.75"/>
    <col customWidth="1" min="10" max="10" width="24.63"/>
    <col customWidth="1" min="18" max="18" width="31.38"/>
    <col customWidth="1" min="19" max="19" width="28.13"/>
    <col customWidth="1" min="28" max="28" width="29.25"/>
    <col customWidth="1" min="29" max="29" width="31.5"/>
    <col customWidth="1" min="32" max="32" width="23.63"/>
    <col customWidth="1" min="33" max="33" width="33.63"/>
    <col customWidth="1" min="34" max="34" width="28.88"/>
    <col customWidth="1" min="35" max="35" width="28.75"/>
    <col customWidth="1" min="36" max="36" width="31.63"/>
    <col customWidth="1" min="37" max="37" width="28.63"/>
    <col customWidth="1" min="38" max="38" width="24.25"/>
    <col customWidth="1" min="39" max="39" width="24.38"/>
    <col customWidth="1" min="40" max="40" width="33.0"/>
  </cols>
  <sheetData>
    <row r="1" ht="15.75" customHeight="1">
      <c r="A1" s="29"/>
      <c r="B1" s="30"/>
      <c r="C1" s="32"/>
      <c r="D1" s="32"/>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35"/>
    </row>
    <row r="2" ht="15.75" customHeight="1">
      <c r="A2" s="43" t="s">
        <v>94</v>
      </c>
      <c r="B2" s="43" t="s">
        <v>7</v>
      </c>
      <c r="C2" s="45" t="s">
        <v>96</v>
      </c>
      <c r="D2" s="46" t="s">
        <v>117</v>
      </c>
      <c r="E2" s="47" t="s">
        <v>118</v>
      </c>
      <c r="F2" s="47" t="s">
        <v>120</v>
      </c>
      <c r="G2" s="47" t="s">
        <v>121</v>
      </c>
      <c r="H2" s="47" t="s">
        <v>123</v>
      </c>
      <c r="I2" s="47" t="s">
        <v>124</v>
      </c>
      <c r="J2" s="47" t="s">
        <v>102</v>
      </c>
      <c r="K2" s="47" t="s">
        <v>109</v>
      </c>
      <c r="L2" s="47" t="s">
        <v>112</v>
      </c>
      <c r="M2" s="47" t="s">
        <v>113</v>
      </c>
      <c r="N2" s="47" t="s">
        <v>116</v>
      </c>
      <c r="O2" s="47" t="s">
        <v>119</v>
      </c>
      <c r="P2" s="47" t="s">
        <v>122</v>
      </c>
      <c r="Q2" s="47" t="s">
        <v>125</v>
      </c>
      <c r="R2" s="47" t="s">
        <v>126</v>
      </c>
      <c r="S2" s="47" t="s">
        <v>127</v>
      </c>
      <c r="T2" s="47" t="s">
        <v>128</v>
      </c>
      <c r="U2" s="47" t="s">
        <v>129</v>
      </c>
      <c r="V2" s="47" t="s">
        <v>130</v>
      </c>
      <c r="W2" s="47" t="s">
        <v>131</v>
      </c>
      <c r="X2" s="47" t="s">
        <v>133</v>
      </c>
      <c r="Y2" s="47" t="s">
        <v>134</v>
      </c>
      <c r="Z2" s="47" t="s">
        <v>136</v>
      </c>
      <c r="AA2" s="47" t="s">
        <v>137</v>
      </c>
      <c r="AB2" s="47" t="s">
        <v>138</v>
      </c>
      <c r="AC2" s="47" t="s">
        <v>139</v>
      </c>
      <c r="AD2" s="47" t="s">
        <v>140</v>
      </c>
      <c r="AE2" s="47" t="s">
        <v>142</v>
      </c>
      <c r="AF2" s="47" t="s">
        <v>143</v>
      </c>
      <c r="AG2" s="47" t="s">
        <v>145</v>
      </c>
      <c r="AH2" s="47" t="s">
        <v>146</v>
      </c>
      <c r="AI2" s="47" t="s">
        <v>149</v>
      </c>
      <c r="AJ2" s="47" t="s">
        <v>151</v>
      </c>
      <c r="AK2" s="47" t="s">
        <v>152</v>
      </c>
      <c r="AL2" s="47" t="s">
        <v>153</v>
      </c>
      <c r="AM2" s="47" t="s">
        <v>154</v>
      </c>
      <c r="AN2" s="47" t="s">
        <v>155</v>
      </c>
      <c r="AO2" s="47" t="s">
        <v>156</v>
      </c>
      <c r="AP2" s="47" t="s">
        <v>157</v>
      </c>
      <c r="AQ2" s="47" t="s">
        <v>158</v>
      </c>
      <c r="AR2" s="47" t="s">
        <v>159</v>
      </c>
      <c r="AS2" s="47" t="s">
        <v>161</v>
      </c>
      <c r="AT2" s="47" t="s">
        <v>163</v>
      </c>
      <c r="AU2" s="47" t="s">
        <v>164</v>
      </c>
      <c r="AV2" s="35"/>
    </row>
    <row r="3" ht="15.75" customHeight="1">
      <c r="A3" s="56">
        <v>1.1</v>
      </c>
      <c r="B3" s="57" t="s">
        <v>165</v>
      </c>
      <c r="C3" s="58"/>
      <c r="D3" s="58"/>
      <c r="E3" s="59"/>
      <c r="F3" s="59"/>
      <c r="G3" s="59"/>
      <c r="H3" s="61"/>
      <c r="I3" s="62"/>
      <c r="J3" s="62"/>
      <c r="K3" s="62"/>
      <c r="L3" s="62"/>
      <c r="M3" s="62"/>
      <c r="N3" s="62"/>
      <c r="O3" s="62"/>
      <c r="P3" s="62">
        <v>4.0</v>
      </c>
      <c r="Q3" s="62">
        <v>4.0</v>
      </c>
      <c r="R3" s="62"/>
      <c r="S3" s="62"/>
      <c r="T3" s="62"/>
      <c r="U3" s="62"/>
      <c r="V3" s="62">
        <v>4.0</v>
      </c>
      <c r="W3" s="62"/>
      <c r="X3" s="62"/>
      <c r="Y3" s="62"/>
      <c r="Z3" s="62">
        <v>4.0</v>
      </c>
      <c r="AA3" s="62"/>
      <c r="AB3" s="62"/>
      <c r="AC3" s="62">
        <v>4.0</v>
      </c>
      <c r="AD3" s="62"/>
      <c r="AE3" s="62">
        <v>16.0</v>
      </c>
      <c r="AF3" s="62"/>
      <c r="AG3" s="62"/>
      <c r="AH3" s="62"/>
      <c r="AI3" s="62"/>
      <c r="AJ3" s="62"/>
      <c r="AK3" s="62">
        <v>4.0</v>
      </c>
      <c r="AL3" s="62"/>
      <c r="AM3" s="62"/>
      <c r="AN3" s="62"/>
      <c r="AO3" s="62"/>
      <c r="AP3" s="62"/>
      <c r="AQ3" s="62"/>
      <c r="AR3" s="62"/>
      <c r="AS3" s="62">
        <v>4.0</v>
      </c>
      <c r="AT3" s="62"/>
      <c r="AU3" s="56"/>
      <c r="AV3" s="35"/>
    </row>
    <row r="4" ht="15.75" customHeight="1">
      <c r="A4" s="56">
        <v>1.2</v>
      </c>
      <c r="B4" s="57" t="s">
        <v>174</v>
      </c>
      <c r="C4" s="58"/>
      <c r="D4" s="58"/>
      <c r="E4" s="59"/>
      <c r="F4" s="59"/>
      <c r="G4" s="59"/>
      <c r="H4" s="61"/>
      <c r="I4" s="62"/>
      <c r="J4" s="62"/>
      <c r="K4" s="62"/>
      <c r="L4" s="62"/>
      <c r="M4" s="62"/>
      <c r="N4" s="62"/>
      <c r="O4" s="62"/>
      <c r="P4" s="62"/>
      <c r="Q4" s="62"/>
      <c r="R4" s="62"/>
      <c r="S4" s="62"/>
      <c r="T4" s="62">
        <v>4.0</v>
      </c>
      <c r="U4" s="62"/>
      <c r="V4" s="62"/>
      <c r="W4" s="62"/>
      <c r="X4" s="62"/>
      <c r="Y4" s="62"/>
      <c r="Z4" s="62"/>
      <c r="AA4" s="62"/>
      <c r="AB4" s="62"/>
      <c r="AC4" s="62"/>
      <c r="AD4" s="62"/>
      <c r="AE4" s="62"/>
      <c r="AF4" s="62"/>
      <c r="AG4" s="62"/>
      <c r="AH4" s="62"/>
      <c r="AI4" s="62">
        <v>4.0</v>
      </c>
      <c r="AJ4" s="62"/>
      <c r="AK4" s="62"/>
      <c r="AL4" s="62"/>
      <c r="AM4" s="62"/>
      <c r="AN4" s="62"/>
      <c r="AO4" s="62"/>
      <c r="AP4" s="62"/>
      <c r="AQ4" s="62"/>
      <c r="AR4" s="62"/>
      <c r="AS4" s="62"/>
      <c r="AT4" s="62"/>
      <c r="AU4" s="56"/>
      <c r="AV4" s="35"/>
    </row>
    <row r="5" ht="15.75" customHeight="1">
      <c r="A5" s="56">
        <v>1.3</v>
      </c>
      <c r="B5" s="57" t="s">
        <v>184</v>
      </c>
      <c r="C5" s="58"/>
      <c r="D5" s="58"/>
      <c r="E5" s="59"/>
      <c r="F5" s="59"/>
      <c r="G5" s="59"/>
      <c r="H5" s="61"/>
      <c r="I5" s="62"/>
      <c r="J5" s="62"/>
      <c r="K5" s="62"/>
      <c r="L5" s="62"/>
      <c r="M5" s="62"/>
      <c r="N5" s="62"/>
      <c r="O5" s="62"/>
      <c r="P5" s="62"/>
      <c r="Q5" s="62"/>
      <c r="R5" s="62"/>
      <c r="S5" s="62"/>
      <c r="T5" s="62"/>
      <c r="U5" s="62"/>
      <c r="V5" s="62"/>
      <c r="W5" s="62">
        <v>4.0</v>
      </c>
      <c r="X5" s="62"/>
      <c r="Y5" s="62"/>
      <c r="Z5" s="62"/>
      <c r="AA5" s="62"/>
      <c r="AB5" s="62"/>
      <c r="AC5" s="62"/>
      <c r="AD5" s="62">
        <v>4.0</v>
      </c>
      <c r="AE5" s="62"/>
      <c r="AF5" s="62"/>
      <c r="AG5" s="62"/>
      <c r="AH5" s="62"/>
      <c r="AI5" s="62"/>
      <c r="AJ5" s="62"/>
      <c r="AK5" s="62"/>
      <c r="AL5" s="62">
        <v>4.0</v>
      </c>
      <c r="AM5" s="62"/>
      <c r="AN5" s="62"/>
      <c r="AO5" s="62"/>
      <c r="AP5" s="62"/>
      <c r="AQ5" s="62"/>
      <c r="AR5" s="62"/>
      <c r="AS5" s="62"/>
      <c r="AT5" s="62"/>
      <c r="AU5" s="56"/>
      <c r="AV5" s="35"/>
    </row>
    <row r="6" ht="15.75" customHeight="1">
      <c r="A6" s="56">
        <v>1.4</v>
      </c>
      <c r="B6" s="57" t="s">
        <v>190</v>
      </c>
      <c r="C6" s="58"/>
      <c r="D6" s="58"/>
      <c r="E6" s="59"/>
      <c r="F6" s="59"/>
      <c r="G6" s="59"/>
      <c r="H6" s="61"/>
      <c r="I6" s="62"/>
      <c r="J6" s="62"/>
      <c r="K6" s="62"/>
      <c r="L6" s="62"/>
      <c r="M6" s="62"/>
      <c r="N6" s="62"/>
      <c r="O6" s="62"/>
      <c r="P6" s="62"/>
      <c r="Q6" s="62"/>
      <c r="R6" s="62"/>
      <c r="S6" s="62"/>
      <c r="T6" s="62"/>
      <c r="U6" s="62"/>
      <c r="V6" s="62"/>
      <c r="W6" s="62"/>
      <c r="X6" s="62"/>
      <c r="Y6" s="62">
        <v>4.0</v>
      </c>
      <c r="Z6" s="62"/>
      <c r="AA6" s="62"/>
      <c r="AB6" s="62"/>
      <c r="AC6" s="62"/>
      <c r="AD6" s="62"/>
      <c r="AE6" s="62"/>
      <c r="AF6" s="62">
        <v>4.0</v>
      </c>
      <c r="AG6" s="62"/>
      <c r="AH6" s="62"/>
      <c r="AI6" s="62"/>
      <c r="AJ6" s="62"/>
      <c r="AK6" s="62"/>
      <c r="AL6" s="62"/>
      <c r="AM6" s="62"/>
      <c r="AN6" s="62">
        <v>4.0</v>
      </c>
      <c r="AO6" s="62"/>
      <c r="AP6" s="62"/>
      <c r="AQ6" s="62"/>
      <c r="AR6" s="62"/>
      <c r="AS6" s="62"/>
      <c r="AT6" s="62"/>
      <c r="AU6" s="56"/>
      <c r="AV6" s="35"/>
    </row>
    <row r="7" ht="15.75" customHeight="1">
      <c r="A7" s="56">
        <v>1.5</v>
      </c>
      <c r="B7" s="57" t="s">
        <v>200</v>
      </c>
      <c r="C7" s="58"/>
      <c r="D7" s="58"/>
      <c r="E7" s="59"/>
      <c r="F7" s="59"/>
      <c r="G7" s="59"/>
      <c r="H7" s="61"/>
      <c r="I7" s="62"/>
      <c r="J7" s="62"/>
      <c r="K7" s="62">
        <v>16.0</v>
      </c>
      <c r="L7" s="62"/>
      <c r="M7" s="62"/>
      <c r="N7" s="62"/>
      <c r="O7" s="62"/>
      <c r="P7" s="62"/>
      <c r="Q7" s="62"/>
      <c r="R7" s="62"/>
      <c r="S7" s="62"/>
      <c r="T7" s="62"/>
      <c r="U7" s="62"/>
      <c r="V7" s="62"/>
      <c r="W7" s="62"/>
      <c r="X7" s="62"/>
      <c r="Y7" s="62"/>
      <c r="Z7" s="62"/>
      <c r="AA7" s="62"/>
      <c r="AB7" s="62"/>
      <c r="AC7" s="62"/>
      <c r="AD7" s="62"/>
      <c r="AE7" s="62"/>
      <c r="AF7" s="62"/>
      <c r="AG7" s="62">
        <v>16.0</v>
      </c>
      <c r="AH7" s="62"/>
      <c r="AI7" s="62"/>
      <c r="AJ7" s="62"/>
      <c r="AK7" s="62"/>
      <c r="AL7" s="62"/>
      <c r="AM7" s="62"/>
      <c r="AN7" s="62"/>
      <c r="AO7" s="62">
        <v>16.0</v>
      </c>
      <c r="AP7" s="62"/>
      <c r="AQ7" s="62"/>
      <c r="AR7" s="62"/>
      <c r="AS7" s="62"/>
      <c r="AT7" s="62"/>
      <c r="AU7" s="56"/>
      <c r="AV7" s="35"/>
    </row>
    <row r="8" ht="15.75" customHeight="1">
      <c r="A8" s="56">
        <v>1.6</v>
      </c>
      <c r="B8" s="57" t="s">
        <v>206</v>
      </c>
      <c r="C8" s="58"/>
      <c r="D8" s="58"/>
      <c r="E8" s="59"/>
      <c r="F8" s="59"/>
      <c r="G8" s="59"/>
      <c r="H8" s="61"/>
      <c r="I8" s="62"/>
      <c r="J8" s="62"/>
      <c r="K8" s="62"/>
      <c r="L8" s="62"/>
      <c r="M8" s="62"/>
      <c r="N8" s="62"/>
      <c r="O8" s="62"/>
      <c r="P8" s="62"/>
      <c r="Q8" s="62"/>
      <c r="R8" s="62">
        <v>32.0</v>
      </c>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56"/>
      <c r="AV8" s="35"/>
    </row>
    <row r="9" ht="15.75" customHeight="1">
      <c r="A9" s="56">
        <v>1.7</v>
      </c>
      <c r="B9" s="57" t="s">
        <v>207</v>
      </c>
      <c r="C9" s="58"/>
      <c r="D9" s="58"/>
      <c r="E9" s="59"/>
      <c r="F9" s="59"/>
      <c r="G9" s="59"/>
      <c r="H9" s="61"/>
      <c r="I9" s="62"/>
      <c r="J9" s="62"/>
      <c r="K9" s="62"/>
      <c r="L9" s="62"/>
      <c r="M9" s="62"/>
      <c r="N9" s="62"/>
      <c r="O9" s="62"/>
      <c r="P9" s="62"/>
      <c r="Q9" s="62"/>
      <c r="R9" s="62">
        <v>4.0</v>
      </c>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56"/>
      <c r="AV9" s="35"/>
    </row>
    <row r="10" ht="15.75" customHeight="1">
      <c r="A10" s="56">
        <v>1.8</v>
      </c>
      <c r="B10" s="57" t="s">
        <v>214</v>
      </c>
      <c r="C10" s="58"/>
      <c r="D10" s="58"/>
      <c r="E10" s="59"/>
      <c r="F10" s="59"/>
      <c r="G10" s="59"/>
      <c r="H10" s="61"/>
      <c r="I10" s="62"/>
      <c r="J10" s="62"/>
      <c r="K10" s="62"/>
      <c r="L10" s="62"/>
      <c r="M10" s="62"/>
      <c r="N10" s="62"/>
      <c r="O10" s="62"/>
      <c r="P10" s="62"/>
      <c r="Q10" s="62"/>
      <c r="R10" s="62"/>
      <c r="S10" s="62">
        <v>10.0</v>
      </c>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56"/>
      <c r="AV10" s="35"/>
    </row>
    <row r="11" ht="15.75" customHeight="1">
      <c r="A11" s="56">
        <v>1.9</v>
      </c>
      <c r="B11" s="57" t="s">
        <v>222</v>
      </c>
      <c r="C11" s="58"/>
      <c r="D11" s="58"/>
      <c r="E11" s="59"/>
      <c r="F11" s="59"/>
      <c r="G11" s="59"/>
      <c r="H11" s="61"/>
      <c r="I11" s="62"/>
      <c r="J11" s="62">
        <v>8.0</v>
      </c>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v>8.0</v>
      </c>
      <c r="AO11" s="62"/>
      <c r="AP11" s="62"/>
      <c r="AQ11" s="62"/>
      <c r="AR11" s="62">
        <v>8.0</v>
      </c>
      <c r="AS11" s="62"/>
      <c r="AT11" s="62"/>
      <c r="AU11" s="56"/>
      <c r="AV11" s="35"/>
    </row>
    <row r="12" ht="15.75" customHeight="1">
      <c r="A12" s="56">
        <v>1.1</v>
      </c>
      <c r="B12" s="57" t="s">
        <v>228</v>
      </c>
      <c r="C12" s="58"/>
      <c r="D12" s="58"/>
      <c r="E12" s="59"/>
      <c r="F12" s="59"/>
      <c r="G12" s="59"/>
      <c r="H12" s="61"/>
      <c r="I12" s="62"/>
      <c r="J12" s="62"/>
      <c r="K12" s="62"/>
      <c r="L12" s="62"/>
      <c r="M12" s="62">
        <v>16.0</v>
      </c>
      <c r="N12" s="62"/>
      <c r="O12" s="62"/>
      <c r="P12" s="62"/>
      <c r="Q12" s="62"/>
      <c r="R12" s="62"/>
      <c r="S12" s="62"/>
      <c r="T12" s="62"/>
      <c r="U12" s="62"/>
      <c r="V12" s="62"/>
      <c r="W12" s="62"/>
      <c r="X12" s="62"/>
      <c r="Y12" s="62"/>
      <c r="Z12" s="62"/>
      <c r="AA12" s="62"/>
      <c r="AB12" s="62"/>
      <c r="AC12" s="62"/>
      <c r="AD12" s="62"/>
      <c r="AE12" s="62"/>
      <c r="AF12" s="62"/>
      <c r="AG12" s="62"/>
      <c r="AH12" s="62">
        <v>16.0</v>
      </c>
      <c r="AI12" s="62"/>
      <c r="AJ12" s="62"/>
      <c r="AK12" s="62"/>
      <c r="AL12" s="62"/>
      <c r="AM12" s="62"/>
      <c r="AN12" s="62"/>
      <c r="AO12" s="62"/>
      <c r="AP12" s="62">
        <v>16.0</v>
      </c>
      <c r="AQ12" s="62"/>
      <c r="AR12" s="62"/>
      <c r="AS12" s="62"/>
      <c r="AT12" s="62"/>
      <c r="AU12" s="56"/>
      <c r="AV12" s="35"/>
    </row>
    <row r="13" ht="15.75" customHeight="1">
      <c r="A13" s="56">
        <v>1.11</v>
      </c>
      <c r="B13" s="57" t="s">
        <v>235</v>
      </c>
      <c r="C13" s="58"/>
      <c r="D13" s="58"/>
      <c r="E13" s="59"/>
      <c r="F13" s="59"/>
      <c r="G13" s="59"/>
      <c r="H13" s="61"/>
      <c r="I13" s="62"/>
      <c r="J13" s="62"/>
      <c r="K13" s="62">
        <v>16.0</v>
      </c>
      <c r="L13" s="62"/>
      <c r="M13" s="62"/>
      <c r="N13" s="62"/>
      <c r="O13" s="62"/>
      <c r="P13" s="62"/>
      <c r="Q13" s="62"/>
      <c r="R13" s="62"/>
      <c r="S13" s="62"/>
      <c r="T13" s="62"/>
      <c r="U13" s="62"/>
      <c r="V13" s="62"/>
      <c r="W13" s="62"/>
      <c r="X13" s="62"/>
      <c r="Y13" s="62"/>
      <c r="Z13" s="62"/>
      <c r="AA13" s="62"/>
      <c r="AB13" s="62"/>
      <c r="AC13" s="62"/>
      <c r="AD13" s="62"/>
      <c r="AE13" s="62"/>
      <c r="AF13" s="62"/>
      <c r="AG13" s="62">
        <v>16.0</v>
      </c>
      <c r="AH13" s="62"/>
      <c r="AI13" s="62"/>
      <c r="AJ13" s="62"/>
      <c r="AK13" s="62"/>
      <c r="AL13" s="62"/>
      <c r="AM13" s="62"/>
      <c r="AN13" s="62"/>
      <c r="AO13" s="62">
        <v>16.0</v>
      </c>
      <c r="AP13" s="62"/>
      <c r="AQ13" s="62"/>
      <c r="AR13" s="62"/>
      <c r="AS13" s="62"/>
      <c r="AT13" s="62"/>
      <c r="AU13" s="56"/>
      <c r="AV13" s="35"/>
    </row>
    <row r="14" ht="15.75" customHeight="1">
      <c r="A14" s="56">
        <v>2.0</v>
      </c>
      <c r="B14" s="85" t="s">
        <v>237</v>
      </c>
      <c r="C14" s="58">
        <v>1.0</v>
      </c>
      <c r="D14" s="58"/>
      <c r="E14" s="59"/>
      <c r="F14" s="59"/>
      <c r="G14" s="59"/>
      <c r="H14" s="61"/>
      <c r="I14" s="62"/>
      <c r="J14" s="62"/>
      <c r="K14" s="62"/>
      <c r="L14" s="62"/>
      <c r="M14" s="62"/>
      <c r="N14" s="62"/>
      <c r="O14" s="62"/>
      <c r="P14" s="62"/>
      <c r="Q14" s="62"/>
      <c r="R14" s="62"/>
      <c r="S14" s="62"/>
      <c r="T14" s="62"/>
      <c r="U14" s="62"/>
      <c r="V14" s="62"/>
      <c r="W14" s="62"/>
      <c r="X14" s="62">
        <v>10.0</v>
      </c>
      <c r="Y14" s="62"/>
      <c r="Z14" s="62"/>
      <c r="AA14" s="62">
        <v>10.0</v>
      </c>
      <c r="AB14" s="62"/>
      <c r="AC14" s="62"/>
      <c r="AD14" s="62"/>
      <c r="AE14" s="62">
        <v>20.0</v>
      </c>
      <c r="AF14" s="62"/>
      <c r="AG14" s="62"/>
      <c r="AH14" s="62"/>
      <c r="AI14" s="62"/>
      <c r="AJ14" s="62"/>
      <c r="AK14" s="62"/>
      <c r="AL14" s="62"/>
      <c r="AM14" s="62">
        <v>10.0</v>
      </c>
      <c r="AN14" s="62"/>
      <c r="AO14" s="62"/>
      <c r="AP14" s="62"/>
      <c r="AQ14" s="62"/>
      <c r="AR14" s="62"/>
      <c r="AS14" s="62"/>
      <c r="AT14" s="62"/>
      <c r="AU14" s="56"/>
      <c r="AV14" s="35"/>
    </row>
    <row r="15" ht="15.75" customHeight="1">
      <c r="A15" s="56">
        <v>3.0</v>
      </c>
      <c r="B15" s="85" t="s">
        <v>246</v>
      </c>
      <c r="C15" s="58">
        <v>1.0</v>
      </c>
      <c r="D15" s="58"/>
      <c r="E15" s="59">
        <v>26.0</v>
      </c>
      <c r="F15" s="59"/>
      <c r="G15" s="88">
        <v>16.0</v>
      </c>
      <c r="H15" s="61"/>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56"/>
      <c r="AV15" s="35"/>
    </row>
    <row r="16" ht="15.75" customHeight="1">
      <c r="A16" s="56">
        <v>4.0</v>
      </c>
      <c r="B16" s="85" t="s">
        <v>248</v>
      </c>
      <c r="C16" s="58">
        <v>2.0</v>
      </c>
      <c r="D16" s="58"/>
      <c r="E16" s="59">
        <v>8.0</v>
      </c>
      <c r="F16" s="59">
        <v>40.0</v>
      </c>
      <c r="G16" s="88"/>
      <c r="H16" s="61"/>
      <c r="I16" s="62"/>
      <c r="J16" s="62"/>
      <c r="K16" s="62">
        <v>8.0</v>
      </c>
      <c r="L16" s="62">
        <v>8.0</v>
      </c>
      <c r="M16" s="62"/>
      <c r="N16" s="62">
        <v>8.0</v>
      </c>
      <c r="O16" s="62">
        <v>4.0</v>
      </c>
      <c r="P16" s="62"/>
      <c r="Q16" s="62"/>
      <c r="R16" s="62"/>
      <c r="S16" s="62"/>
      <c r="T16" s="62"/>
      <c r="U16" s="62"/>
      <c r="V16" s="62"/>
      <c r="W16" s="62"/>
      <c r="X16" s="62"/>
      <c r="Y16" s="62"/>
      <c r="Z16" s="62"/>
      <c r="AA16" s="62">
        <v>4.0</v>
      </c>
      <c r="AB16" s="62">
        <v>8.0</v>
      </c>
      <c r="AC16" s="62"/>
      <c r="AD16" s="62"/>
      <c r="AE16" s="62"/>
      <c r="AF16" s="62"/>
      <c r="AG16" s="62">
        <v>16.0</v>
      </c>
      <c r="AH16" s="62"/>
      <c r="AI16" s="62"/>
      <c r="AJ16" s="62">
        <v>12.0</v>
      </c>
      <c r="AK16" s="62"/>
      <c r="AL16" s="62"/>
      <c r="AM16" s="62"/>
      <c r="AN16" s="62"/>
      <c r="AO16" s="62"/>
      <c r="AP16" s="62"/>
      <c r="AQ16" s="62">
        <v>8.0</v>
      </c>
      <c r="AR16" s="62"/>
      <c r="AS16" s="62"/>
      <c r="AT16" s="62">
        <v>2.0</v>
      </c>
      <c r="AU16" s="56">
        <v>2.0</v>
      </c>
      <c r="AV16" s="35"/>
    </row>
    <row r="17" ht="15.75" customHeight="1">
      <c r="A17" s="56">
        <v>4.1</v>
      </c>
      <c r="B17" s="85" t="s">
        <v>253</v>
      </c>
      <c r="C17" s="58">
        <v>2.0</v>
      </c>
      <c r="D17" s="58"/>
      <c r="E17" s="59"/>
      <c r="F17" s="59"/>
      <c r="G17" s="88"/>
      <c r="H17" s="61"/>
      <c r="I17" s="62"/>
      <c r="J17" s="62"/>
      <c r="K17" s="62"/>
      <c r="L17" s="62"/>
      <c r="M17" s="62"/>
      <c r="N17" s="62"/>
      <c r="O17" s="62"/>
      <c r="P17" s="62"/>
      <c r="Q17" s="62"/>
      <c r="R17" s="62"/>
      <c r="S17" s="62"/>
      <c r="T17" s="62"/>
      <c r="U17" s="62">
        <v>8.0</v>
      </c>
      <c r="V17" s="62"/>
      <c r="W17" s="62"/>
      <c r="X17" s="62"/>
      <c r="Y17" s="62"/>
      <c r="Z17" s="62">
        <v>8.0</v>
      </c>
      <c r="AA17" s="62"/>
      <c r="AB17" s="62"/>
      <c r="AC17" s="62"/>
      <c r="AD17" s="62"/>
      <c r="AE17" s="62"/>
      <c r="AF17" s="62"/>
      <c r="AG17" s="62"/>
      <c r="AH17" s="62"/>
      <c r="AI17" s="62"/>
      <c r="AJ17" s="62"/>
      <c r="AK17" s="62"/>
      <c r="AL17" s="62"/>
      <c r="AM17" s="62"/>
      <c r="AN17" s="62"/>
      <c r="AO17" s="62"/>
      <c r="AP17" s="62"/>
      <c r="AQ17" s="62"/>
      <c r="AR17" s="62"/>
      <c r="AS17" s="62"/>
      <c r="AT17" s="62"/>
      <c r="AU17" s="56"/>
      <c r="AV17" s="35"/>
    </row>
    <row r="18" ht="15.75" customHeight="1">
      <c r="A18" s="56">
        <v>6.0</v>
      </c>
      <c r="B18" s="85" t="s">
        <v>257</v>
      </c>
      <c r="C18" s="58">
        <v>1.0</v>
      </c>
      <c r="D18" s="58"/>
      <c r="E18" s="59"/>
      <c r="F18" s="59">
        <v>8.0</v>
      </c>
      <c r="G18" s="88"/>
      <c r="H18" s="61">
        <v>8.0</v>
      </c>
      <c r="I18" s="62">
        <v>16.0</v>
      </c>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56"/>
      <c r="AV18" s="35"/>
    </row>
    <row r="19" ht="15.75" customHeight="1">
      <c r="A19" s="56">
        <v>7.0</v>
      </c>
      <c r="B19" s="85" t="s">
        <v>262</v>
      </c>
      <c r="C19" s="58">
        <v>2.0</v>
      </c>
      <c r="D19" s="58"/>
      <c r="E19" s="59">
        <v>10.0</v>
      </c>
      <c r="F19" s="59"/>
      <c r="G19" s="88"/>
      <c r="H19" s="61"/>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56"/>
      <c r="AV19" s="35"/>
    </row>
    <row r="20" ht="15.75" customHeight="1">
      <c r="A20" s="56">
        <v>8.0</v>
      </c>
      <c r="B20" s="85" t="s">
        <v>262</v>
      </c>
      <c r="C20" s="58">
        <v>2.0</v>
      </c>
      <c r="D20" s="58"/>
      <c r="E20" s="59">
        <v>10.0</v>
      </c>
      <c r="F20" s="59"/>
      <c r="G20" s="88"/>
      <c r="H20" s="61"/>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56"/>
      <c r="AV20" s="35"/>
    </row>
    <row r="21" ht="15.75" customHeight="1">
      <c r="A21" s="56">
        <v>9.0</v>
      </c>
      <c r="B21" s="95" t="s">
        <v>274</v>
      </c>
      <c r="C21" s="59">
        <v>1.0</v>
      </c>
      <c r="D21" s="59"/>
      <c r="E21" s="59">
        <v>4.0</v>
      </c>
      <c r="F21" s="59"/>
      <c r="G21" s="88"/>
      <c r="H21" s="61"/>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56"/>
      <c r="AV21" s="35"/>
    </row>
    <row r="22" ht="15.75" customHeight="1">
      <c r="A22" s="96"/>
      <c r="B22" s="97" t="s">
        <v>281</v>
      </c>
      <c r="C22" s="98"/>
      <c r="D22" s="98"/>
      <c r="E22" s="98">
        <v>58.0</v>
      </c>
      <c r="F22" s="98">
        <v>48.0</v>
      </c>
      <c r="G22" s="98">
        <v>16.0</v>
      </c>
      <c r="H22" s="99">
        <v>8.0</v>
      </c>
      <c r="I22" s="100">
        <v>16.0</v>
      </c>
      <c r="J22" s="100">
        <v>8.0</v>
      </c>
      <c r="K22" s="100">
        <v>40.0</v>
      </c>
      <c r="L22" s="100">
        <v>8.0</v>
      </c>
      <c r="M22" s="100">
        <v>16.0</v>
      </c>
      <c r="N22" s="100">
        <v>8.0</v>
      </c>
      <c r="O22" s="100">
        <v>4.0</v>
      </c>
      <c r="P22" s="100">
        <v>4.0</v>
      </c>
      <c r="Q22" s="100">
        <v>4.0</v>
      </c>
      <c r="R22" s="100">
        <v>36.0</v>
      </c>
      <c r="S22" s="100">
        <v>10.0</v>
      </c>
      <c r="T22" s="100">
        <v>4.0</v>
      </c>
      <c r="U22" s="100">
        <v>8.0</v>
      </c>
      <c r="V22" s="100">
        <v>4.0</v>
      </c>
      <c r="W22" s="100">
        <v>4.0</v>
      </c>
      <c r="X22" s="100">
        <v>10.0</v>
      </c>
      <c r="Y22" s="100">
        <v>4.0</v>
      </c>
      <c r="Z22" s="100">
        <v>12.0</v>
      </c>
      <c r="AA22" s="100">
        <v>14.0</v>
      </c>
      <c r="AB22" s="100">
        <v>8.0</v>
      </c>
      <c r="AC22" s="100">
        <v>4.0</v>
      </c>
      <c r="AD22" s="100">
        <v>4.0</v>
      </c>
      <c r="AE22" s="100">
        <v>36.0</v>
      </c>
      <c r="AF22" s="100">
        <v>4.0</v>
      </c>
      <c r="AG22" s="100">
        <v>48.0</v>
      </c>
      <c r="AH22" s="100">
        <v>16.0</v>
      </c>
      <c r="AI22" s="100">
        <v>4.0</v>
      </c>
      <c r="AJ22" s="100">
        <v>12.0</v>
      </c>
      <c r="AK22" s="100">
        <v>4.0</v>
      </c>
      <c r="AL22" s="100">
        <v>4.0</v>
      </c>
      <c r="AM22" s="100">
        <v>10.0</v>
      </c>
      <c r="AN22" s="100">
        <v>12.0</v>
      </c>
      <c r="AO22" s="100">
        <v>32.0</v>
      </c>
      <c r="AP22" s="100">
        <v>16.0</v>
      </c>
      <c r="AQ22" s="100">
        <v>8.0</v>
      </c>
      <c r="AR22" s="100">
        <v>8.0</v>
      </c>
      <c r="AS22" s="100">
        <v>4.0</v>
      </c>
      <c r="AT22" s="100">
        <v>2.0</v>
      </c>
      <c r="AU22" s="96">
        <v>2.0</v>
      </c>
      <c r="AV22" s="35"/>
    </row>
    <row r="23" ht="15.75" customHeight="1">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row>
    <row r="24" ht="15.75" customHeight="1">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44.75"/>
    <col customWidth="1" min="3" max="6" width="12.63"/>
  </cols>
  <sheetData>
    <row r="1" ht="15.75" customHeight="1">
      <c r="A1" s="77" t="s">
        <v>94</v>
      </c>
      <c r="B1" s="78" t="s">
        <v>7</v>
      </c>
    </row>
    <row r="2" ht="15.75" customHeight="1">
      <c r="A2" s="79">
        <v>1.0</v>
      </c>
      <c r="B2" s="80" t="s">
        <v>213</v>
      </c>
    </row>
    <row r="3" ht="15.75" customHeight="1">
      <c r="A3" s="81">
        <v>2.0</v>
      </c>
      <c r="B3" s="82" t="s">
        <v>215</v>
      </c>
    </row>
    <row r="4" ht="15.75" customHeight="1">
      <c r="A4" s="81">
        <v>3.0</v>
      </c>
      <c r="B4" s="82" t="s">
        <v>216</v>
      </c>
    </row>
    <row r="5" ht="15.75" customHeight="1">
      <c r="A5" s="81">
        <v>4.0</v>
      </c>
      <c r="B5" s="82" t="s">
        <v>217</v>
      </c>
    </row>
    <row r="6" ht="15.75" customHeight="1">
      <c r="A6" s="81">
        <v>5.0</v>
      </c>
      <c r="B6" s="82" t="s">
        <v>218</v>
      </c>
    </row>
    <row r="7" ht="15.75" customHeight="1">
      <c r="A7" s="81"/>
      <c r="B7" s="82"/>
    </row>
    <row r="8" ht="15.75" customHeight="1">
      <c r="A8" s="81"/>
      <c r="B8" s="82"/>
    </row>
    <row r="9" ht="15.75" customHeight="1">
      <c r="A9" s="81"/>
      <c r="B9" s="82"/>
    </row>
    <row r="10" ht="15.75" customHeight="1">
      <c r="A10" s="81"/>
      <c r="B10" s="82"/>
    </row>
    <row r="11" ht="15.75" customHeight="1">
      <c r="A11" s="81"/>
      <c r="B11" s="82"/>
    </row>
    <row r="12" ht="15.75" customHeight="1">
      <c r="A12" s="35"/>
      <c r="B12" s="35"/>
    </row>
    <row r="13" ht="15.75" customHeight="1">
      <c r="A13" s="35"/>
      <c r="B13" s="35"/>
    </row>
    <row r="14" ht="15.75" customHeight="1">
      <c r="A14" s="35"/>
      <c r="B14" s="35"/>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